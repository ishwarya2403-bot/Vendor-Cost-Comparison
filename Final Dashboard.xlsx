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28b9a891b993fcf9/Desktop/Ishwarya/Final/"/>
    </mc:Choice>
  </mc:AlternateContent>
  <xr:revisionPtr revIDLastSave="5" documentId="8_{C93D4F18-39F2-46B8-9B49-A0C1B07DC5B8}" xr6:coauthVersionLast="47" xr6:coauthVersionMax="47" xr10:uidLastSave="{D939633D-AF94-4A79-87B7-4EDD1037E50F}"/>
  <bookViews>
    <workbookView xWindow="-108" yWindow="-108" windowWidth="23256" windowHeight="12456" activeTab="4" xr2:uid="{62DC4FAA-2DD7-4CC4-9CE3-509D920756EA}"/>
  </bookViews>
  <sheets>
    <sheet name="Procurement KPI Analysis Datase" sheetId="1" r:id="rId1"/>
    <sheet name="Data Understanding" sheetId="3" r:id="rId2"/>
    <sheet name="Cards" sheetId="16" r:id="rId3"/>
    <sheet name="Slicer" sheetId="32" r:id="rId4"/>
    <sheet name="Dashboard" sheetId="31" r:id="rId5"/>
  </sheets>
  <definedNames>
    <definedName name="_xlnm._FilterDatabase" localSheetId="0" hidden="1">'Procurement KPI Analysis Datase'!$A$1:$I$691</definedName>
    <definedName name="_xlcn.WorksheetConnection_VendorCostDataset.xlsxTable11" hidden="1">Table1[]</definedName>
    <definedName name="Slicer_Item_Category1">#N/A</definedName>
    <definedName name="Slicer_Month">#N/A</definedName>
    <definedName name="Slicer_Month1">#N/A</definedName>
    <definedName name="Slicer_Supplier1">#N/A</definedName>
    <definedName name="Slicer_Year">#N/A</definedName>
    <definedName name="Slicer_Year1">#N/A</definedName>
  </definedNames>
  <calcPr calcId="191029"/>
  <pivotCaches>
    <pivotCache cacheId="59" r:id="rId6"/>
    <pivotCache cacheId="62" r:id="rId7"/>
    <pivotCache cacheId="65" r:id="rId8"/>
    <pivotCache cacheId="68" r:id="rId9"/>
    <pivotCache cacheId="71" r:id="rId10"/>
    <pivotCache cacheId="74" r:id="rId11"/>
    <pivotCache cacheId="77" r:id="rId12"/>
    <pivotCache cacheId="80"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9"/>
        <x14:slicerCache r:id="rId20"/>
      </x15:slicerCaches>
    </ext>
    <ext xmlns:x15="http://schemas.microsoft.com/office/spreadsheetml/2010/11/main" uri="{FCE2AD5D-F65C-4FA6-A056-5C36A1767C68}">
      <x15:dataModel>
        <x15:modelTables>
          <x15:modelTable id="Table1" name="Table1" connection="WorksheetConnection_Vendor Cost 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591" i="1"/>
  <c r="K5" i="1"/>
  <c r="K6" i="1"/>
  <c r="K7" i="1"/>
  <c r="K8" i="1"/>
  <c r="K9" i="1"/>
  <c r="K10" i="1"/>
  <c r="K11" i="1"/>
  <c r="K12" i="1"/>
  <c r="K13" i="1"/>
  <c r="K14" i="1"/>
  <c r="K190" i="1"/>
  <c r="K16" i="1"/>
  <c r="K17" i="1"/>
  <c r="K18" i="1"/>
  <c r="K19" i="1"/>
  <c r="K20" i="1"/>
  <c r="K323" i="1"/>
  <c r="K22" i="1"/>
  <c r="K23" i="1"/>
  <c r="K24" i="1"/>
  <c r="K25" i="1"/>
  <c r="K26" i="1"/>
  <c r="K27" i="1"/>
  <c r="K28" i="1"/>
  <c r="K29" i="1"/>
  <c r="K30" i="1"/>
  <c r="K4" i="1"/>
  <c r="K32" i="1"/>
  <c r="K33" i="1"/>
  <c r="K34" i="1"/>
  <c r="K35" i="1"/>
  <c r="K36" i="1"/>
  <c r="K37" i="1"/>
  <c r="K38" i="1"/>
  <c r="K39" i="1"/>
  <c r="K40" i="1"/>
  <c r="K610" i="1"/>
  <c r="K42" i="1"/>
  <c r="K198" i="1"/>
  <c r="K44" i="1"/>
  <c r="K45" i="1"/>
  <c r="K46" i="1"/>
  <c r="K47" i="1"/>
  <c r="K15" i="1"/>
  <c r="K49" i="1"/>
  <c r="K50" i="1"/>
  <c r="K51" i="1"/>
  <c r="K52" i="1"/>
  <c r="K335" i="1"/>
  <c r="K54" i="1"/>
  <c r="K55" i="1"/>
  <c r="K56" i="1"/>
  <c r="K57" i="1"/>
  <c r="K58" i="1"/>
  <c r="K59" i="1"/>
  <c r="K60" i="1"/>
  <c r="K61" i="1"/>
  <c r="K62" i="1"/>
  <c r="K63" i="1"/>
  <c r="K21" i="1"/>
  <c r="K65" i="1"/>
  <c r="K66" i="1"/>
  <c r="K67" i="1"/>
  <c r="K345" i="1"/>
  <c r="K31" i="1"/>
  <c r="K70" i="1"/>
  <c r="K71" i="1"/>
  <c r="K72" i="1"/>
  <c r="K73" i="1"/>
  <c r="K74" i="1"/>
  <c r="K75" i="1"/>
  <c r="K76" i="1"/>
  <c r="K77" i="1"/>
  <c r="K78" i="1"/>
  <c r="K79" i="1"/>
  <c r="K80" i="1"/>
  <c r="K81" i="1"/>
  <c r="K82" i="1"/>
  <c r="K612"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374" i="1"/>
  <c r="K113" i="1"/>
  <c r="K114" i="1"/>
  <c r="K115" i="1"/>
  <c r="K116" i="1"/>
  <c r="K117" i="1"/>
  <c r="K118" i="1"/>
  <c r="K119" i="1"/>
  <c r="K120" i="1"/>
  <c r="K121" i="1"/>
  <c r="K122" i="1"/>
  <c r="K123" i="1"/>
  <c r="K124" i="1"/>
  <c r="K125" i="1"/>
  <c r="K126" i="1"/>
  <c r="K624" i="1"/>
  <c r="K382" i="1"/>
  <c r="K129" i="1"/>
  <c r="K130" i="1"/>
  <c r="K131" i="1"/>
  <c r="K388" i="1"/>
  <c r="K133" i="1"/>
  <c r="K134" i="1"/>
  <c r="K135" i="1"/>
  <c r="K136" i="1"/>
  <c r="K137" i="1"/>
  <c r="K138" i="1"/>
  <c r="K139" i="1"/>
  <c r="K140" i="1"/>
  <c r="K141" i="1"/>
  <c r="K142" i="1"/>
  <c r="K143" i="1"/>
  <c r="K633" i="1"/>
  <c r="K145" i="1"/>
  <c r="K146" i="1"/>
  <c r="K147" i="1"/>
  <c r="K148" i="1"/>
  <c r="K149" i="1"/>
  <c r="K150" i="1"/>
  <c r="K151" i="1"/>
  <c r="K152" i="1"/>
  <c r="K153" i="1"/>
  <c r="K154" i="1"/>
  <c r="K155" i="1"/>
  <c r="K156" i="1"/>
  <c r="K128" i="1"/>
  <c r="K158" i="1"/>
  <c r="K159" i="1"/>
  <c r="K160" i="1"/>
  <c r="K41" i="1"/>
  <c r="K162" i="1"/>
  <c r="K163" i="1"/>
  <c r="K164" i="1"/>
  <c r="K397" i="1"/>
  <c r="K132" i="1"/>
  <c r="K167" i="1"/>
  <c r="K168" i="1"/>
  <c r="K169" i="1"/>
  <c r="K170" i="1"/>
  <c r="K171" i="1"/>
  <c r="K172" i="1"/>
  <c r="K173" i="1"/>
  <c r="K174" i="1"/>
  <c r="K175" i="1"/>
  <c r="K176" i="1"/>
  <c r="K177" i="1"/>
  <c r="K178" i="1"/>
  <c r="K179" i="1"/>
  <c r="K180" i="1"/>
  <c r="K181" i="1"/>
  <c r="K182" i="1"/>
  <c r="K183" i="1"/>
  <c r="K184" i="1"/>
  <c r="K185" i="1"/>
  <c r="K186" i="1"/>
  <c r="K187" i="1"/>
  <c r="K188" i="1"/>
  <c r="K189" i="1"/>
  <c r="K43" i="1"/>
  <c r="K191" i="1"/>
  <c r="K192" i="1"/>
  <c r="K193" i="1"/>
  <c r="K194" i="1"/>
  <c r="K195" i="1"/>
  <c r="K196" i="1"/>
  <c r="K197" i="1"/>
  <c r="K637" i="1"/>
  <c r="K199" i="1"/>
  <c r="K200" i="1"/>
  <c r="K201" i="1"/>
  <c r="K202" i="1"/>
  <c r="K646"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651" i="1"/>
  <c r="K252" i="1"/>
  <c r="K253" i="1"/>
  <c r="K254" i="1"/>
  <c r="K255" i="1"/>
  <c r="K256" i="1"/>
  <c r="K257" i="1"/>
  <c r="K258" i="1"/>
  <c r="K259" i="1"/>
  <c r="K260" i="1"/>
  <c r="K261" i="1"/>
  <c r="K48"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144" i="1"/>
  <c r="K324" i="1"/>
  <c r="K325" i="1"/>
  <c r="K326" i="1"/>
  <c r="K327" i="1"/>
  <c r="K328" i="1"/>
  <c r="K329" i="1"/>
  <c r="K330" i="1"/>
  <c r="K331" i="1"/>
  <c r="K332" i="1"/>
  <c r="K333" i="1"/>
  <c r="K334" i="1"/>
  <c r="K411" i="1"/>
  <c r="K336" i="1"/>
  <c r="K337" i="1"/>
  <c r="K338" i="1"/>
  <c r="K339" i="1"/>
  <c r="K340" i="1"/>
  <c r="K341" i="1"/>
  <c r="K342" i="1"/>
  <c r="K343" i="1"/>
  <c r="K344" i="1"/>
  <c r="K419"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53" i="1"/>
  <c r="K375" i="1"/>
  <c r="K376" i="1"/>
  <c r="K377" i="1"/>
  <c r="K378" i="1"/>
  <c r="K379" i="1"/>
  <c r="K380" i="1"/>
  <c r="K381" i="1"/>
  <c r="K456" i="1"/>
  <c r="K383" i="1"/>
  <c r="K384" i="1"/>
  <c r="K385" i="1"/>
  <c r="K386" i="1"/>
  <c r="K387" i="1"/>
  <c r="K657" i="1"/>
  <c r="K389" i="1"/>
  <c r="K390" i="1"/>
  <c r="K391" i="1"/>
  <c r="K392" i="1"/>
  <c r="K393" i="1"/>
  <c r="K394" i="1"/>
  <c r="K395" i="1"/>
  <c r="K396" i="1"/>
  <c r="K203" i="1"/>
  <c r="K398" i="1"/>
  <c r="K399" i="1"/>
  <c r="K400" i="1"/>
  <c r="K401" i="1"/>
  <c r="K402" i="1"/>
  <c r="K403" i="1"/>
  <c r="K404" i="1"/>
  <c r="K405" i="1"/>
  <c r="K406" i="1"/>
  <c r="K407" i="1"/>
  <c r="K408" i="1"/>
  <c r="K409" i="1"/>
  <c r="K410" i="1"/>
  <c r="K64" i="1"/>
  <c r="K412" i="1"/>
  <c r="K413" i="1"/>
  <c r="K414" i="1"/>
  <c r="K415" i="1"/>
  <c r="K416" i="1"/>
  <c r="K417" i="1"/>
  <c r="K418" i="1"/>
  <c r="K157"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63" i="1"/>
  <c r="K457" i="1"/>
  <c r="K458" i="1"/>
  <c r="K459" i="1"/>
  <c r="K460" i="1"/>
  <c r="K461" i="1"/>
  <c r="K462" i="1"/>
  <c r="K251" i="1"/>
  <c r="K464" i="1"/>
  <c r="K465" i="1"/>
  <c r="K466" i="1"/>
  <c r="K467" i="1"/>
  <c r="K675" i="1"/>
  <c r="K469" i="1"/>
  <c r="K470" i="1"/>
  <c r="K471" i="1"/>
  <c r="K472" i="1"/>
  <c r="K473" i="1"/>
  <c r="K474" i="1"/>
  <c r="K475" i="1"/>
  <c r="K476" i="1"/>
  <c r="K477" i="1"/>
  <c r="K478" i="1"/>
  <c r="K479" i="1"/>
  <c r="K480" i="1"/>
  <c r="K481" i="1"/>
  <c r="K482" i="1"/>
  <c r="K483" i="1"/>
  <c r="K484" i="1"/>
  <c r="K485" i="1"/>
  <c r="K486" i="1"/>
  <c r="K487" i="1"/>
  <c r="K488" i="1"/>
  <c r="K489" i="1"/>
  <c r="K684" i="1"/>
  <c r="K491" i="1"/>
  <c r="K492" i="1"/>
  <c r="K493" i="1"/>
  <c r="K494" i="1"/>
  <c r="K495" i="1"/>
  <c r="K496" i="1"/>
  <c r="K497" i="1"/>
  <c r="K6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468" i="1"/>
  <c r="K526" i="1"/>
  <c r="K527" i="1"/>
  <c r="K528" i="1"/>
  <c r="K529" i="1"/>
  <c r="K530" i="1"/>
  <c r="K531" i="1"/>
  <c r="K532" i="1"/>
  <c r="K533" i="1"/>
  <c r="K534" i="1"/>
  <c r="K535" i="1"/>
  <c r="K69" i="1"/>
  <c r="K537" i="1"/>
  <c r="K538" i="1"/>
  <c r="K539" i="1"/>
  <c r="K540" i="1"/>
  <c r="K541" i="1"/>
  <c r="K542" i="1"/>
  <c r="K490"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262" i="1"/>
  <c r="K582" i="1"/>
  <c r="K583" i="1"/>
  <c r="K584" i="1"/>
  <c r="K585" i="1"/>
  <c r="K586" i="1"/>
  <c r="K587" i="1"/>
  <c r="K588" i="1"/>
  <c r="K589" i="1"/>
  <c r="K590" i="1"/>
  <c r="K83" i="1"/>
  <c r="K592" i="1"/>
  <c r="K593" i="1"/>
  <c r="K594" i="1"/>
  <c r="K595" i="1"/>
  <c r="K596" i="1"/>
  <c r="K597" i="1"/>
  <c r="K598" i="1"/>
  <c r="K599" i="1"/>
  <c r="K600" i="1"/>
  <c r="K601" i="1"/>
  <c r="K602" i="1"/>
  <c r="K603" i="1"/>
  <c r="K604" i="1"/>
  <c r="K605" i="1"/>
  <c r="K606" i="1"/>
  <c r="K607" i="1"/>
  <c r="K608" i="1"/>
  <c r="K609" i="1"/>
  <c r="K498" i="1"/>
  <c r="K611" i="1"/>
  <c r="K525" i="1"/>
  <c r="K613" i="1"/>
  <c r="K614" i="1"/>
  <c r="K615" i="1"/>
  <c r="K616" i="1"/>
  <c r="K617" i="1"/>
  <c r="K618" i="1"/>
  <c r="K619" i="1"/>
  <c r="K620" i="1"/>
  <c r="K621" i="1"/>
  <c r="K622" i="1"/>
  <c r="K623" i="1"/>
  <c r="K161" i="1"/>
  <c r="K625" i="1"/>
  <c r="K626" i="1"/>
  <c r="K627" i="1"/>
  <c r="K628" i="1"/>
  <c r="K629" i="1"/>
  <c r="K630" i="1"/>
  <c r="K631" i="1"/>
  <c r="K632" i="1"/>
  <c r="K112" i="1"/>
  <c r="K634" i="1"/>
  <c r="K635" i="1"/>
  <c r="K636" i="1"/>
  <c r="K127" i="1"/>
  <c r="K638" i="1"/>
  <c r="K639" i="1"/>
  <c r="K640" i="1"/>
  <c r="K641" i="1"/>
  <c r="K642" i="1"/>
  <c r="K643" i="1"/>
  <c r="K644" i="1"/>
  <c r="K645" i="1"/>
  <c r="K536" i="1"/>
  <c r="K647" i="1"/>
  <c r="K648" i="1"/>
  <c r="K649" i="1"/>
  <c r="K650" i="1"/>
  <c r="K543" i="1"/>
  <c r="K652" i="1"/>
  <c r="K653" i="1"/>
  <c r="K654" i="1"/>
  <c r="K655" i="1"/>
  <c r="K656" i="1"/>
  <c r="K165" i="1"/>
  <c r="K658" i="1"/>
  <c r="K659" i="1"/>
  <c r="K660" i="1"/>
  <c r="K661" i="1"/>
  <c r="K662" i="1"/>
  <c r="K663" i="1"/>
  <c r="K664" i="1"/>
  <c r="K665" i="1"/>
  <c r="K666" i="1"/>
  <c r="K667" i="1"/>
  <c r="K668" i="1"/>
  <c r="K669" i="1"/>
  <c r="K670" i="1"/>
  <c r="K671" i="1"/>
  <c r="K672" i="1"/>
  <c r="K673" i="1"/>
  <c r="K674" i="1"/>
  <c r="K687" i="1"/>
  <c r="K676" i="1"/>
  <c r="K677" i="1"/>
  <c r="K678" i="1"/>
  <c r="K679" i="1"/>
  <c r="K680" i="1"/>
  <c r="K681" i="1"/>
  <c r="K682" i="1"/>
  <c r="K683" i="1"/>
  <c r="K581" i="1"/>
  <c r="K685" i="1"/>
  <c r="K686" i="1"/>
  <c r="K166" i="1"/>
  <c r="K688" i="1"/>
  <c r="K689" i="1"/>
  <c r="K690" i="1"/>
  <c r="K691" i="1"/>
  <c r="L2" i="1"/>
  <c r="L3" i="1"/>
  <c r="L591" i="1"/>
  <c r="L5" i="1"/>
  <c r="L6" i="1"/>
  <c r="L7" i="1"/>
  <c r="L8" i="1"/>
  <c r="L9" i="1"/>
  <c r="L10" i="1"/>
  <c r="L11" i="1"/>
  <c r="L12" i="1"/>
  <c r="L13" i="1"/>
  <c r="L14" i="1"/>
  <c r="L190" i="1"/>
  <c r="L16" i="1"/>
  <c r="L17" i="1"/>
  <c r="L18" i="1"/>
  <c r="L19" i="1"/>
  <c r="L20" i="1"/>
  <c r="L323" i="1"/>
  <c r="L22" i="1"/>
  <c r="L23" i="1"/>
  <c r="L24" i="1"/>
  <c r="L25" i="1"/>
  <c r="L26" i="1"/>
  <c r="L27" i="1"/>
  <c r="L28" i="1"/>
  <c r="L29" i="1"/>
  <c r="L30" i="1"/>
  <c r="L4" i="1"/>
  <c r="L32" i="1"/>
  <c r="L33" i="1"/>
  <c r="L34" i="1"/>
  <c r="L35" i="1"/>
  <c r="L36" i="1"/>
  <c r="L37" i="1"/>
  <c r="L38" i="1"/>
  <c r="L39" i="1"/>
  <c r="L40" i="1"/>
  <c r="L610" i="1"/>
  <c r="L42" i="1"/>
  <c r="L198" i="1"/>
  <c r="L44" i="1"/>
  <c r="L45" i="1"/>
  <c r="L46" i="1"/>
  <c r="L47" i="1"/>
  <c r="L15" i="1"/>
  <c r="L49" i="1"/>
  <c r="L50" i="1"/>
  <c r="L51" i="1"/>
  <c r="L52" i="1"/>
  <c r="L335" i="1"/>
  <c r="L54" i="1"/>
  <c r="L55" i="1"/>
  <c r="L56" i="1"/>
  <c r="L57" i="1"/>
  <c r="L58" i="1"/>
  <c r="L59" i="1"/>
  <c r="L60" i="1"/>
  <c r="L61" i="1"/>
  <c r="L62" i="1"/>
  <c r="L63" i="1"/>
  <c r="L21" i="1"/>
  <c r="L65" i="1"/>
  <c r="L66" i="1"/>
  <c r="L67" i="1"/>
  <c r="L345" i="1"/>
  <c r="L31" i="1"/>
  <c r="L70" i="1"/>
  <c r="L71" i="1"/>
  <c r="L72" i="1"/>
  <c r="L73" i="1"/>
  <c r="L74" i="1"/>
  <c r="L75" i="1"/>
  <c r="L76" i="1"/>
  <c r="L77" i="1"/>
  <c r="L78" i="1"/>
  <c r="L79" i="1"/>
  <c r="L80" i="1"/>
  <c r="L81" i="1"/>
  <c r="L82" i="1"/>
  <c r="L612"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374" i="1"/>
  <c r="L113" i="1"/>
  <c r="L114" i="1"/>
  <c r="L115" i="1"/>
  <c r="L116" i="1"/>
  <c r="L117" i="1"/>
  <c r="L118" i="1"/>
  <c r="L119" i="1"/>
  <c r="L120" i="1"/>
  <c r="L121" i="1"/>
  <c r="L122" i="1"/>
  <c r="L123" i="1"/>
  <c r="L124" i="1"/>
  <c r="L125" i="1"/>
  <c r="L126" i="1"/>
  <c r="L624" i="1"/>
  <c r="L382" i="1"/>
  <c r="L129" i="1"/>
  <c r="L130" i="1"/>
  <c r="L131" i="1"/>
  <c r="L388" i="1"/>
  <c r="L133" i="1"/>
  <c r="L134" i="1"/>
  <c r="L135" i="1"/>
  <c r="L136" i="1"/>
  <c r="L137" i="1"/>
  <c r="L138" i="1"/>
  <c r="L139" i="1"/>
  <c r="L140" i="1"/>
  <c r="L141" i="1"/>
  <c r="L142" i="1"/>
  <c r="L143" i="1"/>
  <c r="L633" i="1"/>
  <c r="L145" i="1"/>
  <c r="L146" i="1"/>
  <c r="L147" i="1"/>
  <c r="L148" i="1"/>
  <c r="L149" i="1"/>
  <c r="L150" i="1"/>
  <c r="L151" i="1"/>
  <c r="L152" i="1"/>
  <c r="L153" i="1"/>
  <c r="L154" i="1"/>
  <c r="L155" i="1"/>
  <c r="L156" i="1"/>
  <c r="L128" i="1"/>
  <c r="L158" i="1"/>
  <c r="L159" i="1"/>
  <c r="L160" i="1"/>
  <c r="L41" i="1"/>
  <c r="L162" i="1"/>
  <c r="L163" i="1"/>
  <c r="L164" i="1"/>
  <c r="L397" i="1"/>
  <c r="L132" i="1"/>
  <c r="L167" i="1"/>
  <c r="L168" i="1"/>
  <c r="L169" i="1"/>
  <c r="L170" i="1"/>
  <c r="L171" i="1"/>
  <c r="L172" i="1"/>
  <c r="L173" i="1"/>
  <c r="L174" i="1"/>
  <c r="L175" i="1"/>
  <c r="L176" i="1"/>
  <c r="L177" i="1"/>
  <c r="L178" i="1"/>
  <c r="L179" i="1"/>
  <c r="L180" i="1"/>
  <c r="L181" i="1"/>
  <c r="L182" i="1"/>
  <c r="L183" i="1"/>
  <c r="L184" i="1"/>
  <c r="L185" i="1"/>
  <c r="L186" i="1"/>
  <c r="L187" i="1"/>
  <c r="L188" i="1"/>
  <c r="L189" i="1"/>
  <c r="L43" i="1"/>
  <c r="L191" i="1"/>
  <c r="L192" i="1"/>
  <c r="L193" i="1"/>
  <c r="L194" i="1"/>
  <c r="L195" i="1"/>
  <c r="L196" i="1"/>
  <c r="L197" i="1"/>
  <c r="L637" i="1"/>
  <c r="L199" i="1"/>
  <c r="L200" i="1"/>
  <c r="L201" i="1"/>
  <c r="L202" i="1"/>
  <c r="L646"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651" i="1"/>
  <c r="L252" i="1"/>
  <c r="L253" i="1"/>
  <c r="L254" i="1"/>
  <c r="L255" i="1"/>
  <c r="L256" i="1"/>
  <c r="L257" i="1"/>
  <c r="L258" i="1"/>
  <c r="L259" i="1"/>
  <c r="L260" i="1"/>
  <c r="L261" i="1"/>
  <c r="L48"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144" i="1"/>
  <c r="L324" i="1"/>
  <c r="L325" i="1"/>
  <c r="L326" i="1"/>
  <c r="L327" i="1"/>
  <c r="L328" i="1"/>
  <c r="L329" i="1"/>
  <c r="L330" i="1"/>
  <c r="L331" i="1"/>
  <c r="L332" i="1"/>
  <c r="L333" i="1"/>
  <c r="L334" i="1"/>
  <c r="L411" i="1"/>
  <c r="L336" i="1"/>
  <c r="L337" i="1"/>
  <c r="L338" i="1"/>
  <c r="L339" i="1"/>
  <c r="L340" i="1"/>
  <c r="L341" i="1"/>
  <c r="L342" i="1"/>
  <c r="L343" i="1"/>
  <c r="L344" i="1"/>
  <c r="L419"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53" i="1"/>
  <c r="L375" i="1"/>
  <c r="L376" i="1"/>
  <c r="L377" i="1"/>
  <c r="L378" i="1"/>
  <c r="L379" i="1"/>
  <c r="L380" i="1"/>
  <c r="L381" i="1"/>
  <c r="L456" i="1"/>
  <c r="L383" i="1"/>
  <c r="L384" i="1"/>
  <c r="L385" i="1"/>
  <c r="L386" i="1"/>
  <c r="L387" i="1"/>
  <c r="L657" i="1"/>
  <c r="L389" i="1"/>
  <c r="L390" i="1"/>
  <c r="L391" i="1"/>
  <c r="L392" i="1"/>
  <c r="L393" i="1"/>
  <c r="L394" i="1"/>
  <c r="L395" i="1"/>
  <c r="L396" i="1"/>
  <c r="L203" i="1"/>
  <c r="L398" i="1"/>
  <c r="L399" i="1"/>
  <c r="L400" i="1"/>
  <c r="L401" i="1"/>
  <c r="L402" i="1"/>
  <c r="L403" i="1"/>
  <c r="L404" i="1"/>
  <c r="L405" i="1"/>
  <c r="L406" i="1"/>
  <c r="L407" i="1"/>
  <c r="L408" i="1"/>
  <c r="L409" i="1"/>
  <c r="L410" i="1"/>
  <c r="L64" i="1"/>
  <c r="L412" i="1"/>
  <c r="L413" i="1"/>
  <c r="L414" i="1"/>
  <c r="L415" i="1"/>
  <c r="L416" i="1"/>
  <c r="L417" i="1"/>
  <c r="L418" i="1"/>
  <c r="L157"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63" i="1"/>
  <c r="L457" i="1"/>
  <c r="L458" i="1"/>
  <c r="L459" i="1"/>
  <c r="L460" i="1"/>
  <c r="L461" i="1"/>
  <c r="L462" i="1"/>
  <c r="L251" i="1"/>
  <c r="L464" i="1"/>
  <c r="L465" i="1"/>
  <c r="L466" i="1"/>
  <c r="L467" i="1"/>
  <c r="L675" i="1"/>
  <c r="L469" i="1"/>
  <c r="L470" i="1"/>
  <c r="L471" i="1"/>
  <c r="L472" i="1"/>
  <c r="L473" i="1"/>
  <c r="L474" i="1"/>
  <c r="L475" i="1"/>
  <c r="L476" i="1"/>
  <c r="L477" i="1"/>
  <c r="L478" i="1"/>
  <c r="L479" i="1"/>
  <c r="L480" i="1"/>
  <c r="L481" i="1"/>
  <c r="L482" i="1"/>
  <c r="L483" i="1"/>
  <c r="L484" i="1"/>
  <c r="L485" i="1"/>
  <c r="L486" i="1"/>
  <c r="L487" i="1"/>
  <c r="L488" i="1"/>
  <c r="L489" i="1"/>
  <c r="L684" i="1"/>
  <c r="L491" i="1"/>
  <c r="L492" i="1"/>
  <c r="L493" i="1"/>
  <c r="L494" i="1"/>
  <c r="L495" i="1"/>
  <c r="L496" i="1"/>
  <c r="L497" i="1"/>
  <c r="L6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468" i="1"/>
  <c r="L526" i="1"/>
  <c r="L527" i="1"/>
  <c r="L528" i="1"/>
  <c r="L529" i="1"/>
  <c r="L530" i="1"/>
  <c r="L531" i="1"/>
  <c r="L532" i="1"/>
  <c r="L533" i="1"/>
  <c r="L534" i="1"/>
  <c r="L535" i="1"/>
  <c r="L69" i="1"/>
  <c r="L537" i="1"/>
  <c r="L538" i="1"/>
  <c r="L539" i="1"/>
  <c r="L540" i="1"/>
  <c r="L541" i="1"/>
  <c r="L542" i="1"/>
  <c r="L490"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262" i="1"/>
  <c r="L582" i="1"/>
  <c r="L583" i="1"/>
  <c r="L584" i="1"/>
  <c r="L585" i="1"/>
  <c r="L586" i="1"/>
  <c r="L587" i="1"/>
  <c r="L588" i="1"/>
  <c r="L589" i="1"/>
  <c r="L590" i="1"/>
  <c r="L83" i="1"/>
  <c r="L592" i="1"/>
  <c r="L593" i="1"/>
  <c r="L594" i="1"/>
  <c r="L595" i="1"/>
  <c r="L596" i="1"/>
  <c r="L597" i="1"/>
  <c r="L598" i="1"/>
  <c r="L599" i="1"/>
  <c r="L600" i="1"/>
  <c r="L601" i="1"/>
  <c r="L602" i="1"/>
  <c r="L603" i="1"/>
  <c r="L604" i="1"/>
  <c r="L605" i="1"/>
  <c r="L606" i="1"/>
  <c r="L607" i="1"/>
  <c r="L608" i="1"/>
  <c r="L609" i="1"/>
  <c r="L498" i="1"/>
  <c r="L611" i="1"/>
  <c r="L525" i="1"/>
  <c r="L613" i="1"/>
  <c r="L614" i="1"/>
  <c r="L615" i="1"/>
  <c r="L616" i="1"/>
  <c r="L617" i="1"/>
  <c r="L618" i="1"/>
  <c r="L619" i="1"/>
  <c r="L620" i="1"/>
  <c r="L621" i="1"/>
  <c r="L622" i="1"/>
  <c r="L623" i="1"/>
  <c r="L161" i="1"/>
  <c r="L625" i="1"/>
  <c r="L626" i="1"/>
  <c r="L627" i="1"/>
  <c r="L628" i="1"/>
  <c r="L629" i="1"/>
  <c r="L630" i="1"/>
  <c r="L631" i="1"/>
  <c r="L632" i="1"/>
  <c r="L112" i="1"/>
  <c r="L634" i="1"/>
  <c r="L635" i="1"/>
  <c r="L636" i="1"/>
  <c r="L127" i="1"/>
  <c r="L638" i="1"/>
  <c r="L639" i="1"/>
  <c r="L640" i="1"/>
  <c r="L641" i="1"/>
  <c r="L642" i="1"/>
  <c r="L643" i="1"/>
  <c r="L644" i="1"/>
  <c r="L645" i="1"/>
  <c r="L536" i="1"/>
  <c r="L647" i="1"/>
  <c r="L648" i="1"/>
  <c r="L649" i="1"/>
  <c r="L650" i="1"/>
  <c r="L543" i="1"/>
  <c r="L652" i="1"/>
  <c r="L653" i="1"/>
  <c r="L654" i="1"/>
  <c r="L655" i="1"/>
  <c r="L656" i="1"/>
  <c r="L165" i="1"/>
  <c r="L658" i="1"/>
  <c r="L659" i="1"/>
  <c r="L660" i="1"/>
  <c r="L661" i="1"/>
  <c r="L662" i="1"/>
  <c r="L663" i="1"/>
  <c r="L664" i="1"/>
  <c r="L665" i="1"/>
  <c r="L666" i="1"/>
  <c r="L667" i="1"/>
  <c r="L668" i="1"/>
  <c r="L669" i="1"/>
  <c r="L670" i="1"/>
  <c r="L671" i="1"/>
  <c r="L672" i="1"/>
  <c r="L673" i="1"/>
  <c r="L674" i="1"/>
  <c r="L687" i="1"/>
  <c r="L676" i="1"/>
  <c r="L677" i="1"/>
  <c r="L678" i="1"/>
  <c r="L679" i="1"/>
  <c r="L680" i="1"/>
  <c r="L681" i="1"/>
  <c r="L682" i="1"/>
  <c r="L683" i="1"/>
  <c r="L581" i="1"/>
  <c r="L685" i="1"/>
  <c r="L686" i="1"/>
  <c r="L166" i="1"/>
  <c r="L688" i="1"/>
  <c r="L689" i="1"/>
  <c r="L690" i="1"/>
  <c r="L691" i="1"/>
  <c r="J3" i="1"/>
  <c r="J591" i="1"/>
  <c r="J5" i="1"/>
  <c r="J6" i="1"/>
  <c r="J7" i="1"/>
  <c r="J8" i="1"/>
  <c r="J9" i="1"/>
  <c r="J10" i="1"/>
  <c r="J11" i="1"/>
  <c r="J12" i="1"/>
  <c r="J13" i="1"/>
  <c r="J14" i="1"/>
  <c r="J190" i="1"/>
  <c r="J16" i="1"/>
  <c r="J17" i="1"/>
  <c r="J18" i="1"/>
  <c r="J19" i="1"/>
  <c r="J20" i="1"/>
  <c r="J323" i="1"/>
  <c r="J22" i="1"/>
  <c r="J23" i="1"/>
  <c r="J24" i="1"/>
  <c r="J25" i="1"/>
  <c r="J26" i="1"/>
  <c r="J27" i="1"/>
  <c r="J28" i="1"/>
  <c r="J29" i="1"/>
  <c r="J30" i="1"/>
  <c r="J4" i="1"/>
  <c r="J32" i="1"/>
  <c r="J33" i="1"/>
  <c r="J34" i="1"/>
  <c r="J35" i="1"/>
  <c r="J36" i="1"/>
  <c r="J37" i="1"/>
  <c r="J38" i="1"/>
  <c r="J39" i="1"/>
  <c r="J40" i="1"/>
  <c r="J610" i="1"/>
  <c r="J42" i="1"/>
  <c r="J198" i="1"/>
  <c r="J44" i="1"/>
  <c r="J45" i="1"/>
  <c r="J46" i="1"/>
  <c r="J47" i="1"/>
  <c r="J15" i="1"/>
  <c r="J49" i="1"/>
  <c r="J50" i="1"/>
  <c r="J51" i="1"/>
  <c r="J52" i="1"/>
  <c r="J335" i="1"/>
  <c r="J54" i="1"/>
  <c r="J55" i="1"/>
  <c r="J56" i="1"/>
  <c r="J57" i="1"/>
  <c r="J58" i="1"/>
  <c r="J59" i="1"/>
  <c r="J60" i="1"/>
  <c r="J61" i="1"/>
  <c r="J62" i="1"/>
  <c r="J63" i="1"/>
  <c r="J21" i="1"/>
  <c r="J65" i="1"/>
  <c r="J66" i="1"/>
  <c r="J67" i="1"/>
  <c r="J345" i="1"/>
  <c r="J31" i="1"/>
  <c r="J70" i="1"/>
  <c r="J71" i="1"/>
  <c r="J72" i="1"/>
  <c r="J73" i="1"/>
  <c r="J74" i="1"/>
  <c r="J75" i="1"/>
  <c r="J76" i="1"/>
  <c r="J77" i="1"/>
  <c r="J78" i="1"/>
  <c r="J79" i="1"/>
  <c r="J80" i="1"/>
  <c r="J81" i="1"/>
  <c r="J82" i="1"/>
  <c r="J612"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374" i="1"/>
  <c r="J113" i="1"/>
  <c r="J114" i="1"/>
  <c r="J115" i="1"/>
  <c r="J116" i="1"/>
  <c r="J117" i="1"/>
  <c r="J118" i="1"/>
  <c r="J119" i="1"/>
  <c r="J120" i="1"/>
  <c r="J121" i="1"/>
  <c r="J122" i="1"/>
  <c r="J123" i="1"/>
  <c r="J124" i="1"/>
  <c r="J125" i="1"/>
  <c r="J126" i="1"/>
  <c r="J624" i="1"/>
  <c r="J382" i="1"/>
  <c r="J129" i="1"/>
  <c r="J130" i="1"/>
  <c r="J131" i="1"/>
  <c r="J388" i="1"/>
  <c r="J133" i="1"/>
  <c r="J134" i="1"/>
  <c r="J135" i="1"/>
  <c r="J136" i="1"/>
  <c r="J137" i="1"/>
  <c r="J138" i="1"/>
  <c r="J139" i="1"/>
  <c r="J140" i="1"/>
  <c r="J141" i="1"/>
  <c r="J142" i="1"/>
  <c r="J143" i="1"/>
  <c r="J633" i="1"/>
  <c r="J145" i="1"/>
  <c r="J146" i="1"/>
  <c r="J147" i="1"/>
  <c r="J148" i="1"/>
  <c r="J149" i="1"/>
  <c r="J150" i="1"/>
  <c r="J151" i="1"/>
  <c r="J152" i="1"/>
  <c r="J153" i="1"/>
  <c r="J154" i="1"/>
  <c r="J155" i="1"/>
  <c r="J156" i="1"/>
  <c r="J128" i="1"/>
  <c r="J158" i="1"/>
  <c r="J159" i="1"/>
  <c r="J160" i="1"/>
  <c r="J41" i="1"/>
  <c r="J162" i="1"/>
  <c r="J163" i="1"/>
  <c r="J164" i="1"/>
  <c r="J397" i="1"/>
  <c r="J132" i="1"/>
  <c r="J167" i="1"/>
  <c r="J168" i="1"/>
  <c r="J169" i="1"/>
  <c r="J170" i="1"/>
  <c r="J171" i="1"/>
  <c r="J172" i="1"/>
  <c r="J173" i="1"/>
  <c r="J174" i="1"/>
  <c r="J175" i="1"/>
  <c r="J176" i="1"/>
  <c r="J177" i="1"/>
  <c r="J178" i="1"/>
  <c r="J179" i="1"/>
  <c r="J180" i="1"/>
  <c r="J181" i="1"/>
  <c r="J182" i="1"/>
  <c r="J183" i="1"/>
  <c r="J184" i="1"/>
  <c r="J185" i="1"/>
  <c r="J186" i="1"/>
  <c r="J187" i="1"/>
  <c r="J188" i="1"/>
  <c r="J189" i="1"/>
  <c r="J43" i="1"/>
  <c r="J191" i="1"/>
  <c r="J192" i="1"/>
  <c r="J193" i="1"/>
  <c r="J194" i="1"/>
  <c r="J195" i="1"/>
  <c r="J196" i="1"/>
  <c r="J197" i="1"/>
  <c r="J637" i="1"/>
  <c r="J199" i="1"/>
  <c r="J200" i="1"/>
  <c r="J201" i="1"/>
  <c r="J202" i="1"/>
  <c r="J646"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651" i="1"/>
  <c r="J252" i="1"/>
  <c r="J253" i="1"/>
  <c r="J254" i="1"/>
  <c r="J255" i="1"/>
  <c r="J256" i="1"/>
  <c r="J257" i="1"/>
  <c r="J258" i="1"/>
  <c r="J259" i="1"/>
  <c r="J260" i="1"/>
  <c r="J261" i="1"/>
  <c r="J48"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144" i="1"/>
  <c r="J324" i="1"/>
  <c r="J325" i="1"/>
  <c r="J326" i="1"/>
  <c r="J327" i="1"/>
  <c r="J328" i="1"/>
  <c r="J329" i="1"/>
  <c r="J330" i="1"/>
  <c r="J331" i="1"/>
  <c r="J332" i="1"/>
  <c r="J333" i="1"/>
  <c r="J334" i="1"/>
  <c r="J411" i="1"/>
  <c r="J336" i="1"/>
  <c r="J337" i="1"/>
  <c r="J338" i="1"/>
  <c r="J339" i="1"/>
  <c r="J340" i="1"/>
  <c r="J341" i="1"/>
  <c r="J342" i="1"/>
  <c r="J343" i="1"/>
  <c r="J344" i="1"/>
  <c r="J419"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53" i="1"/>
  <c r="J375" i="1"/>
  <c r="J376" i="1"/>
  <c r="J377" i="1"/>
  <c r="J378" i="1"/>
  <c r="J379" i="1"/>
  <c r="J380" i="1"/>
  <c r="J381" i="1"/>
  <c r="J456" i="1"/>
  <c r="J383" i="1"/>
  <c r="J384" i="1"/>
  <c r="J385" i="1"/>
  <c r="J386" i="1"/>
  <c r="J387" i="1"/>
  <c r="J657" i="1"/>
  <c r="J389" i="1"/>
  <c r="J390" i="1"/>
  <c r="J391" i="1"/>
  <c r="J392" i="1"/>
  <c r="J393" i="1"/>
  <c r="J394" i="1"/>
  <c r="J395" i="1"/>
  <c r="J396" i="1"/>
  <c r="J203" i="1"/>
  <c r="J398" i="1"/>
  <c r="J399" i="1"/>
  <c r="J400" i="1"/>
  <c r="J401" i="1"/>
  <c r="J402" i="1"/>
  <c r="J403" i="1"/>
  <c r="J404" i="1"/>
  <c r="J405" i="1"/>
  <c r="J406" i="1"/>
  <c r="J407" i="1"/>
  <c r="J408" i="1"/>
  <c r="J409" i="1"/>
  <c r="J410" i="1"/>
  <c r="J64" i="1"/>
  <c r="J412" i="1"/>
  <c r="J413" i="1"/>
  <c r="J414" i="1"/>
  <c r="J415" i="1"/>
  <c r="J416" i="1"/>
  <c r="J417" i="1"/>
  <c r="J418" i="1"/>
  <c r="J157"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63" i="1"/>
  <c r="J457" i="1"/>
  <c r="J458" i="1"/>
  <c r="J459" i="1"/>
  <c r="J460" i="1"/>
  <c r="J461" i="1"/>
  <c r="J462" i="1"/>
  <c r="J251" i="1"/>
  <c r="J464" i="1"/>
  <c r="J465" i="1"/>
  <c r="J466" i="1"/>
  <c r="J467" i="1"/>
  <c r="J675" i="1"/>
  <c r="J469" i="1"/>
  <c r="J470" i="1"/>
  <c r="J471" i="1"/>
  <c r="J472" i="1"/>
  <c r="J473" i="1"/>
  <c r="J474" i="1"/>
  <c r="J475" i="1"/>
  <c r="J476" i="1"/>
  <c r="J477" i="1"/>
  <c r="J478" i="1"/>
  <c r="J479" i="1"/>
  <c r="J480" i="1"/>
  <c r="J481" i="1"/>
  <c r="J482" i="1"/>
  <c r="J483" i="1"/>
  <c r="J484" i="1"/>
  <c r="J485" i="1"/>
  <c r="J486" i="1"/>
  <c r="J487" i="1"/>
  <c r="J488" i="1"/>
  <c r="J489" i="1"/>
  <c r="J684" i="1"/>
  <c r="J491" i="1"/>
  <c r="J492" i="1"/>
  <c r="J493" i="1"/>
  <c r="J494" i="1"/>
  <c r="J495" i="1"/>
  <c r="J496" i="1"/>
  <c r="J497" i="1"/>
  <c r="J6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468" i="1"/>
  <c r="J526" i="1"/>
  <c r="J527" i="1"/>
  <c r="J528" i="1"/>
  <c r="J529" i="1"/>
  <c r="J530" i="1"/>
  <c r="J531" i="1"/>
  <c r="J532" i="1"/>
  <c r="J533" i="1"/>
  <c r="J534" i="1"/>
  <c r="J535" i="1"/>
  <c r="J69" i="1"/>
  <c r="J537" i="1"/>
  <c r="J538" i="1"/>
  <c r="J539" i="1"/>
  <c r="J540" i="1"/>
  <c r="J541" i="1"/>
  <c r="J542" i="1"/>
  <c r="J490"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262" i="1"/>
  <c r="J582" i="1"/>
  <c r="J583" i="1"/>
  <c r="J584" i="1"/>
  <c r="J585" i="1"/>
  <c r="J586" i="1"/>
  <c r="J587" i="1"/>
  <c r="J588" i="1"/>
  <c r="J589" i="1"/>
  <c r="J590" i="1"/>
  <c r="J83" i="1"/>
  <c r="J592" i="1"/>
  <c r="J593" i="1"/>
  <c r="J594" i="1"/>
  <c r="J595" i="1"/>
  <c r="J596" i="1"/>
  <c r="J597" i="1"/>
  <c r="J598" i="1"/>
  <c r="J599" i="1"/>
  <c r="J600" i="1"/>
  <c r="J601" i="1"/>
  <c r="J602" i="1"/>
  <c r="J603" i="1"/>
  <c r="J604" i="1"/>
  <c r="J605" i="1"/>
  <c r="J606" i="1"/>
  <c r="J607" i="1"/>
  <c r="J608" i="1"/>
  <c r="J609" i="1"/>
  <c r="J498" i="1"/>
  <c r="J611" i="1"/>
  <c r="J525" i="1"/>
  <c r="J613" i="1"/>
  <c r="J614" i="1"/>
  <c r="J615" i="1"/>
  <c r="J616" i="1"/>
  <c r="J617" i="1"/>
  <c r="J618" i="1"/>
  <c r="J619" i="1"/>
  <c r="J620" i="1"/>
  <c r="J621" i="1"/>
  <c r="J622" i="1"/>
  <c r="J623" i="1"/>
  <c r="J161" i="1"/>
  <c r="J625" i="1"/>
  <c r="J626" i="1"/>
  <c r="J627" i="1"/>
  <c r="J628" i="1"/>
  <c r="J629" i="1"/>
  <c r="J630" i="1"/>
  <c r="J631" i="1"/>
  <c r="J632" i="1"/>
  <c r="J112" i="1"/>
  <c r="J634" i="1"/>
  <c r="J635" i="1"/>
  <c r="J636" i="1"/>
  <c r="J127" i="1"/>
  <c r="J638" i="1"/>
  <c r="J639" i="1"/>
  <c r="J640" i="1"/>
  <c r="J641" i="1"/>
  <c r="J642" i="1"/>
  <c r="J643" i="1"/>
  <c r="J644" i="1"/>
  <c r="J645" i="1"/>
  <c r="J536" i="1"/>
  <c r="J647" i="1"/>
  <c r="J648" i="1"/>
  <c r="J649" i="1"/>
  <c r="J650" i="1"/>
  <c r="J543" i="1"/>
  <c r="J652" i="1"/>
  <c r="J653" i="1"/>
  <c r="J654" i="1"/>
  <c r="J655" i="1"/>
  <c r="J656" i="1"/>
  <c r="J165" i="1"/>
  <c r="J658" i="1"/>
  <c r="J659" i="1"/>
  <c r="J660" i="1"/>
  <c r="J661" i="1"/>
  <c r="J662" i="1"/>
  <c r="J663" i="1"/>
  <c r="J664" i="1"/>
  <c r="J665" i="1"/>
  <c r="J666" i="1"/>
  <c r="J667" i="1"/>
  <c r="J668" i="1"/>
  <c r="J669" i="1"/>
  <c r="J670" i="1"/>
  <c r="J671" i="1"/>
  <c r="J672" i="1"/>
  <c r="J673" i="1"/>
  <c r="J674" i="1"/>
  <c r="J687" i="1"/>
  <c r="J676" i="1"/>
  <c r="J677" i="1"/>
  <c r="J678" i="1"/>
  <c r="J679" i="1"/>
  <c r="J680" i="1"/>
  <c r="J681" i="1"/>
  <c r="J682" i="1"/>
  <c r="J683" i="1"/>
  <c r="J581" i="1"/>
  <c r="J685" i="1"/>
  <c r="J686" i="1"/>
  <c r="J166" i="1"/>
  <c r="J688" i="1"/>
  <c r="J689" i="1"/>
  <c r="J690" i="1"/>
  <c r="J691" i="1"/>
  <c r="J2" i="1"/>
  <c r="I3" i="1"/>
  <c r="I591" i="1"/>
  <c r="I5" i="1"/>
  <c r="I6" i="1"/>
  <c r="I7" i="1"/>
  <c r="I8" i="1"/>
  <c r="I9" i="1"/>
  <c r="I10" i="1"/>
  <c r="I11" i="1"/>
  <c r="I12" i="1"/>
  <c r="I13" i="1"/>
  <c r="I14" i="1"/>
  <c r="I190" i="1"/>
  <c r="I16" i="1"/>
  <c r="I17" i="1"/>
  <c r="I18" i="1"/>
  <c r="I19" i="1"/>
  <c r="I20" i="1"/>
  <c r="I323" i="1"/>
  <c r="I22" i="1"/>
  <c r="I23" i="1"/>
  <c r="I24" i="1"/>
  <c r="I25" i="1"/>
  <c r="I26" i="1"/>
  <c r="I27" i="1"/>
  <c r="I28" i="1"/>
  <c r="I29" i="1"/>
  <c r="I30" i="1"/>
  <c r="I4" i="1"/>
  <c r="I32" i="1"/>
  <c r="I33" i="1"/>
  <c r="I34" i="1"/>
  <c r="I35" i="1"/>
  <c r="I36" i="1"/>
  <c r="I37" i="1"/>
  <c r="I38" i="1"/>
  <c r="I39" i="1"/>
  <c r="I40" i="1"/>
  <c r="I610" i="1"/>
  <c r="I42" i="1"/>
  <c r="I198" i="1"/>
  <c r="I44" i="1"/>
  <c r="I45" i="1"/>
  <c r="I46" i="1"/>
  <c r="I47" i="1"/>
  <c r="I15" i="1"/>
  <c r="I49" i="1"/>
  <c r="I50" i="1"/>
  <c r="I51" i="1"/>
  <c r="I52" i="1"/>
  <c r="I335" i="1"/>
  <c r="I54" i="1"/>
  <c r="I55" i="1"/>
  <c r="I56" i="1"/>
  <c r="I57" i="1"/>
  <c r="I58" i="1"/>
  <c r="I59" i="1"/>
  <c r="I60" i="1"/>
  <c r="I61" i="1"/>
  <c r="I62" i="1"/>
  <c r="I63" i="1"/>
  <c r="I21" i="1"/>
  <c r="I65" i="1"/>
  <c r="I66" i="1"/>
  <c r="I67" i="1"/>
  <c r="I345" i="1"/>
  <c r="I31" i="1"/>
  <c r="I70" i="1"/>
  <c r="I71" i="1"/>
  <c r="I72" i="1"/>
  <c r="I73" i="1"/>
  <c r="I74" i="1"/>
  <c r="I75" i="1"/>
  <c r="I76" i="1"/>
  <c r="I77" i="1"/>
  <c r="I78" i="1"/>
  <c r="I79" i="1"/>
  <c r="I80" i="1"/>
  <c r="I81" i="1"/>
  <c r="I82" i="1"/>
  <c r="I612"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374" i="1"/>
  <c r="I113" i="1"/>
  <c r="I114" i="1"/>
  <c r="I115" i="1"/>
  <c r="I116" i="1"/>
  <c r="I117" i="1"/>
  <c r="I118" i="1"/>
  <c r="I119" i="1"/>
  <c r="I120" i="1"/>
  <c r="I121" i="1"/>
  <c r="I122" i="1"/>
  <c r="I123" i="1"/>
  <c r="I124" i="1"/>
  <c r="I125" i="1"/>
  <c r="I126" i="1"/>
  <c r="I624" i="1"/>
  <c r="I382" i="1"/>
  <c r="I129" i="1"/>
  <c r="I130" i="1"/>
  <c r="I131" i="1"/>
  <c r="I388" i="1"/>
  <c r="I133" i="1"/>
  <c r="I134" i="1"/>
  <c r="I135" i="1"/>
  <c r="I136" i="1"/>
  <c r="I137" i="1"/>
  <c r="I138" i="1"/>
  <c r="I139" i="1"/>
  <c r="I140" i="1"/>
  <c r="I141" i="1"/>
  <c r="I142" i="1"/>
  <c r="I143" i="1"/>
  <c r="I633" i="1"/>
  <c r="I145" i="1"/>
  <c r="I146" i="1"/>
  <c r="I147" i="1"/>
  <c r="I148" i="1"/>
  <c r="I149" i="1"/>
  <c r="I150" i="1"/>
  <c r="I151" i="1"/>
  <c r="I152" i="1"/>
  <c r="I153" i="1"/>
  <c r="I154" i="1"/>
  <c r="I155" i="1"/>
  <c r="I156" i="1"/>
  <c r="I128" i="1"/>
  <c r="I158" i="1"/>
  <c r="I159" i="1"/>
  <c r="I160" i="1"/>
  <c r="I41" i="1"/>
  <c r="I162" i="1"/>
  <c r="I163" i="1"/>
  <c r="I164" i="1"/>
  <c r="I397" i="1"/>
  <c r="I132" i="1"/>
  <c r="I167" i="1"/>
  <c r="I168" i="1"/>
  <c r="I169" i="1"/>
  <c r="I170" i="1"/>
  <c r="I171" i="1"/>
  <c r="I172" i="1"/>
  <c r="I173" i="1"/>
  <c r="I174" i="1"/>
  <c r="I175" i="1"/>
  <c r="I176" i="1"/>
  <c r="I177" i="1"/>
  <c r="I178" i="1"/>
  <c r="I179" i="1"/>
  <c r="I180" i="1"/>
  <c r="I181" i="1"/>
  <c r="I182" i="1"/>
  <c r="I183" i="1"/>
  <c r="I184" i="1"/>
  <c r="I185" i="1"/>
  <c r="I186" i="1"/>
  <c r="I187" i="1"/>
  <c r="I188" i="1"/>
  <c r="I189" i="1"/>
  <c r="I43" i="1"/>
  <c r="I191" i="1"/>
  <c r="I192" i="1"/>
  <c r="I193" i="1"/>
  <c r="I194" i="1"/>
  <c r="I195" i="1"/>
  <c r="I196" i="1"/>
  <c r="I197" i="1"/>
  <c r="I637" i="1"/>
  <c r="I199" i="1"/>
  <c r="I200" i="1"/>
  <c r="I201" i="1"/>
  <c r="I202" i="1"/>
  <c r="I646"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651" i="1"/>
  <c r="I252" i="1"/>
  <c r="I253" i="1"/>
  <c r="I254" i="1"/>
  <c r="I255" i="1"/>
  <c r="I256" i="1"/>
  <c r="I257" i="1"/>
  <c r="I258" i="1"/>
  <c r="I259" i="1"/>
  <c r="I260" i="1"/>
  <c r="I261" i="1"/>
  <c r="I48"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144" i="1"/>
  <c r="I324" i="1"/>
  <c r="I325" i="1"/>
  <c r="I326" i="1"/>
  <c r="I327" i="1"/>
  <c r="I328" i="1"/>
  <c r="I329" i="1"/>
  <c r="I330" i="1"/>
  <c r="I331" i="1"/>
  <c r="I332" i="1"/>
  <c r="I333" i="1"/>
  <c r="I334" i="1"/>
  <c r="I411" i="1"/>
  <c r="I336" i="1"/>
  <c r="I337" i="1"/>
  <c r="I338" i="1"/>
  <c r="I339" i="1"/>
  <c r="I340" i="1"/>
  <c r="I341" i="1"/>
  <c r="I342" i="1"/>
  <c r="I343" i="1"/>
  <c r="I344" i="1"/>
  <c r="I419"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53" i="1"/>
  <c r="I375" i="1"/>
  <c r="I376" i="1"/>
  <c r="I377" i="1"/>
  <c r="I378" i="1"/>
  <c r="I379" i="1"/>
  <c r="I380" i="1"/>
  <c r="I381" i="1"/>
  <c r="I456" i="1"/>
  <c r="I383" i="1"/>
  <c r="I384" i="1"/>
  <c r="I385" i="1"/>
  <c r="I386" i="1"/>
  <c r="I387" i="1"/>
  <c r="I657" i="1"/>
  <c r="I389" i="1"/>
  <c r="I390" i="1"/>
  <c r="I391" i="1"/>
  <c r="I392" i="1"/>
  <c r="I393" i="1"/>
  <c r="I394" i="1"/>
  <c r="I395" i="1"/>
  <c r="I396" i="1"/>
  <c r="I203" i="1"/>
  <c r="I398" i="1"/>
  <c r="I399" i="1"/>
  <c r="I400" i="1"/>
  <c r="I401" i="1"/>
  <c r="I402" i="1"/>
  <c r="I403" i="1"/>
  <c r="I404" i="1"/>
  <c r="I405" i="1"/>
  <c r="I406" i="1"/>
  <c r="I407" i="1"/>
  <c r="I408" i="1"/>
  <c r="I409" i="1"/>
  <c r="I410" i="1"/>
  <c r="I64" i="1"/>
  <c r="I412" i="1"/>
  <c r="I413" i="1"/>
  <c r="I414" i="1"/>
  <c r="I415" i="1"/>
  <c r="I416" i="1"/>
  <c r="I417" i="1"/>
  <c r="I418" i="1"/>
  <c r="I157"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63" i="1"/>
  <c r="I457" i="1"/>
  <c r="I458" i="1"/>
  <c r="I459" i="1"/>
  <c r="I460" i="1"/>
  <c r="I461" i="1"/>
  <c r="I462" i="1"/>
  <c r="I251" i="1"/>
  <c r="I464" i="1"/>
  <c r="I465" i="1"/>
  <c r="I466" i="1"/>
  <c r="I467" i="1"/>
  <c r="I675" i="1"/>
  <c r="I469" i="1"/>
  <c r="I470" i="1"/>
  <c r="I471" i="1"/>
  <c r="I472" i="1"/>
  <c r="I473" i="1"/>
  <c r="I474" i="1"/>
  <c r="I475" i="1"/>
  <c r="I476" i="1"/>
  <c r="I477" i="1"/>
  <c r="I478" i="1"/>
  <c r="I479" i="1"/>
  <c r="I480" i="1"/>
  <c r="I481" i="1"/>
  <c r="I482" i="1"/>
  <c r="I483" i="1"/>
  <c r="I484" i="1"/>
  <c r="I485" i="1"/>
  <c r="I486" i="1"/>
  <c r="I487" i="1"/>
  <c r="I488" i="1"/>
  <c r="I489" i="1"/>
  <c r="I684" i="1"/>
  <c r="I491" i="1"/>
  <c r="I492" i="1"/>
  <c r="I493" i="1"/>
  <c r="I494" i="1"/>
  <c r="I495" i="1"/>
  <c r="I496" i="1"/>
  <c r="I497" i="1"/>
  <c r="I6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468" i="1"/>
  <c r="I526" i="1"/>
  <c r="I527" i="1"/>
  <c r="I528" i="1"/>
  <c r="I529" i="1"/>
  <c r="I530" i="1"/>
  <c r="I531" i="1"/>
  <c r="I532" i="1"/>
  <c r="I533" i="1"/>
  <c r="I534" i="1"/>
  <c r="I535" i="1"/>
  <c r="I69" i="1"/>
  <c r="I537" i="1"/>
  <c r="I538" i="1"/>
  <c r="I539" i="1"/>
  <c r="I540" i="1"/>
  <c r="I541" i="1"/>
  <c r="I542" i="1"/>
  <c r="I490"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262" i="1"/>
  <c r="I582" i="1"/>
  <c r="I583" i="1"/>
  <c r="I584" i="1"/>
  <c r="I585" i="1"/>
  <c r="I586" i="1"/>
  <c r="I587" i="1"/>
  <c r="I588" i="1"/>
  <c r="I589" i="1"/>
  <c r="I590" i="1"/>
  <c r="I83" i="1"/>
  <c r="I592" i="1"/>
  <c r="I593" i="1"/>
  <c r="I594" i="1"/>
  <c r="I595" i="1"/>
  <c r="I596" i="1"/>
  <c r="I597" i="1"/>
  <c r="I598" i="1"/>
  <c r="I599" i="1"/>
  <c r="I600" i="1"/>
  <c r="I601" i="1"/>
  <c r="I602" i="1"/>
  <c r="I603" i="1"/>
  <c r="I604" i="1"/>
  <c r="I605" i="1"/>
  <c r="I606" i="1"/>
  <c r="I607" i="1"/>
  <c r="I608" i="1"/>
  <c r="I609" i="1"/>
  <c r="I498" i="1"/>
  <c r="I611" i="1"/>
  <c r="I525" i="1"/>
  <c r="I613" i="1"/>
  <c r="I614" i="1"/>
  <c r="I615" i="1"/>
  <c r="I616" i="1"/>
  <c r="I617" i="1"/>
  <c r="I618" i="1"/>
  <c r="I619" i="1"/>
  <c r="I620" i="1"/>
  <c r="I621" i="1"/>
  <c r="I622" i="1"/>
  <c r="I623" i="1"/>
  <c r="I161" i="1"/>
  <c r="I625" i="1"/>
  <c r="I626" i="1"/>
  <c r="I627" i="1"/>
  <c r="I628" i="1"/>
  <c r="I629" i="1"/>
  <c r="I630" i="1"/>
  <c r="I631" i="1"/>
  <c r="I632" i="1"/>
  <c r="I112" i="1"/>
  <c r="I634" i="1"/>
  <c r="I635" i="1"/>
  <c r="I636" i="1"/>
  <c r="I127" i="1"/>
  <c r="I638" i="1"/>
  <c r="I639" i="1"/>
  <c r="I640" i="1"/>
  <c r="I641" i="1"/>
  <c r="I642" i="1"/>
  <c r="I643" i="1"/>
  <c r="I644" i="1"/>
  <c r="I645" i="1"/>
  <c r="I536" i="1"/>
  <c r="I647" i="1"/>
  <c r="I648" i="1"/>
  <c r="I649" i="1"/>
  <c r="I650" i="1"/>
  <c r="I543" i="1"/>
  <c r="I652" i="1"/>
  <c r="I653" i="1"/>
  <c r="I654" i="1"/>
  <c r="I655" i="1"/>
  <c r="I656" i="1"/>
  <c r="I165" i="1"/>
  <c r="I658" i="1"/>
  <c r="I659" i="1"/>
  <c r="I660" i="1"/>
  <c r="I661" i="1"/>
  <c r="I662" i="1"/>
  <c r="I663" i="1"/>
  <c r="I664" i="1"/>
  <c r="I665" i="1"/>
  <c r="I666" i="1"/>
  <c r="I667" i="1"/>
  <c r="I668" i="1"/>
  <c r="I669" i="1"/>
  <c r="I670" i="1"/>
  <c r="I671" i="1"/>
  <c r="I672" i="1"/>
  <c r="I673" i="1"/>
  <c r="I674" i="1"/>
  <c r="I687" i="1"/>
  <c r="I676" i="1"/>
  <c r="I677" i="1"/>
  <c r="I678" i="1"/>
  <c r="I679" i="1"/>
  <c r="I680" i="1"/>
  <c r="I681" i="1"/>
  <c r="I682" i="1"/>
  <c r="I683" i="1"/>
  <c r="I581" i="1"/>
  <c r="I685" i="1"/>
  <c r="I686" i="1"/>
  <c r="I166" i="1"/>
  <c r="I688" i="1"/>
  <c r="I689" i="1"/>
  <c r="I690" i="1"/>
  <c r="I691" i="1"/>
  <c r="I2" i="1"/>
  <c r="H17" i="1"/>
  <c r="H18" i="1"/>
  <c r="H19" i="1"/>
  <c r="H20" i="1"/>
  <c r="H323" i="1"/>
  <c r="H22" i="1"/>
  <c r="H23" i="1"/>
  <c r="H24" i="1"/>
  <c r="H25" i="1"/>
  <c r="H26" i="1"/>
  <c r="H27" i="1"/>
  <c r="H28" i="1"/>
  <c r="H29" i="1"/>
  <c r="H30" i="1"/>
  <c r="H4" i="1"/>
  <c r="H32" i="1"/>
  <c r="H33" i="1"/>
  <c r="H34" i="1"/>
  <c r="H35" i="1"/>
  <c r="H36" i="1"/>
  <c r="H37" i="1"/>
  <c r="H38" i="1"/>
  <c r="H39" i="1"/>
  <c r="H40" i="1"/>
  <c r="H610" i="1"/>
  <c r="H42" i="1"/>
  <c r="H198" i="1"/>
  <c r="H44" i="1"/>
  <c r="H45" i="1"/>
  <c r="H46" i="1"/>
  <c r="H47" i="1"/>
  <c r="H15" i="1"/>
  <c r="H49" i="1"/>
  <c r="H50" i="1"/>
  <c r="H51" i="1"/>
  <c r="H52" i="1"/>
  <c r="H335" i="1"/>
  <c r="H54" i="1"/>
  <c r="H55" i="1"/>
  <c r="H56" i="1"/>
  <c r="H57" i="1"/>
  <c r="H58" i="1"/>
  <c r="H59" i="1"/>
  <c r="H60" i="1"/>
  <c r="H61" i="1"/>
  <c r="H62" i="1"/>
  <c r="H63" i="1"/>
  <c r="H21" i="1"/>
  <c r="H65" i="1"/>
  <c r="H66" i="1"/>
  <c r="H67" i="1"/>
  <c r="H345" i="1"/>
  <c r="H31" i="1"/>
  <c r="H70" i="1"/>
  <c r="H71" i="1"/>
  <c r="H72" i="1"/>
  <c r="H73" i="1"/>
  <c r="H74" i="1"/>
  <c r="H75" i="1"/>
  <c r="H76" i="1"/>
  <c r="H77" i="1"/>
  <c r="H78" i="1"/>
  <c r="H79" i="1"/>
  <c r="H80" i="1"/>
  <c r="H81" i="1"/>
  <c r="H82" i="1"/>
  <c r="H612"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374" i="1"/>
  <c r="H113" i="1"/>
  <c r="H114" i="1"/>
  <c r="H115" i="1"/>
  <c r="H116" i="1"/>
  <c r="H117" i="1"/>
  <c r="H118" i="1"/>
  <c r="H119" i="1"/>
  <c r="H120" i="1"/>
  <c r="H121" i="1"/>
  <c r="H122" i="1"/>
  <c r="H123" i="1"/>
  <c r="H124" i="1"/>
  <c r="H125" i="1"/>
  <c r="H126" i="1"/>
  <c r="H624" i="1"/>
  <c r="H382" i="1"/>
  <c r="H129" i="1"/>
  <c r="H130" i="1"/>
  <c r="H131" i="1"/>
  <c r="H388" i="1"/>
  <c r="H133" i="1"/>
  <c r="H134" i="1"/>
  <c r="H135" i="1"/>
  <c r="H136" i="1"/>
  <c r="H137" i="1"/>
  <c r="H138" i="1"/>
  <c r="H139" i="1"/>
  <c r="H140" i="1"/>
  <c r="H141" i="1"/>
  <c r="H142" i="1"/>
  <c r="H143" i="1"/>
  <c r="H633" i="1"/>
  <c r="H145" i="1"/>
  <c r="H146" i="1"/>
  <c r="H147" i="1"/>
  <c r="H148" i="1"/>
  <c r="H149" i="1"/>
  <c r="H150" i="1"/>
  <c r="H151" i="1"/>
  <c r="H152" i="1"/>
  <c r="H153" i="1"/>
  <c r="H154" i="1"/>
  <c r="H155" i="1"/>
  <c r="H156" i="1"/>
  <c r="H128" i="1"/>
  <c r="H158" i="1"/>
  <c r="H159" i="1"/>
  <c r="H160" i="1"/>
  <c r="H41" i="1"/>
  <c r="H162" i="1"/>
  <c r="H163" i="1"/>
  <c r="H164" i="1"/>
  <c r="H397" i="1"/>
  <c r="H132" i="1"/>
  <c r="H167" i="1"/>
  <c r="H168" i="1"/>
  <c r="H169" i="1"/>
  <c r="H170" i="1"/>
  <c r="H171" i="1"/>
  <c r="H172" i="1"/>
  <c r="H173" i="1"/>
  <c r="H174" i="1"/>
  <c r="H175" i="1"/>
  <c r="H176" i="1"/>
  <c r="H177" i="1"/>
  <c r="H178" i="1"/>
  <c r="H179" i="1"/>
  <c r="H180" i="1"/>
  <c r="H181" i="1"/>
  <c r="H182" i="1"/>
  <c r="H183" i="1"/>
  <c r="H184" i="1"/>
  <c r="H185" i="1"/>
  <c r="H186" i="1"/>
  <c r="H187" i="1"/>
  <c r="H188" i="1"/>
  <c r="H189" i="1"/>
  <c r="H43" i="1"/>
  <c r="H191" i="1"/>
  <c r="H192" i="1"/>
  <c r="H193" i="1"/>
  <c r="H194" i="1"/>
  <c r="H195" i="1"/>
  <c r="H196" i="1"/>
  <c r="H197" i="1"/>
  <c r="H637" i="1"/>
  <c r="H199" i="1"/>
  <c r="H200" i="1"/>
  <c r="H201" i="1"/>
  <c r="H202" i="1"/>
  <c r="H646"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651" i="1"/>
  <c r="H252" i="1"/>
  <c r="H253" i="1"/>
  <c r="H254" i="1"/>
  <c r="H255" i="1"/>
  <c r="H256" i="1"/>
  <c r="H257" i="1"/>
  <c r="H258" i="1"/>
  <c r="H259" i="1"/>
  <c r="H260" i="1"/>
  <c r="H261" i="1"/>
  <c r="H48"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144" i="1"/>
  <c r="H324" i="1"/>
  <c r="H325" i="1"/>
  <c r="H326" i="1"/>
  <c r="H327" i="1"/>
  <c r="H328" i="1"/>
  <c r="H329" i="1"/>
  <c r="H330" i="1"/>
  <c r="H331" i="1"/>
  <c r="H332" i="1"/>
  <c r="H333" i="1"/>
  <c r="H334" i="1"/>
  <c r="H411" i="1"/>
  <c r="H336" i="1"/>
  <c r="H337" i="1"/>
  <c r="H338" i="1"/>
  <c r="H339" i="1"/>
  <c r="H340" i="1"/>
  <c r="H341" i="1"/>
  <c r="H342" i="1"/>
  <c r="H343" i="1"/>
  <c r="H344" i="1"/>
  <c r="H419"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53" i="1"/>
  <c r="H375" i="1"/>
  <c r="H376" i="1"/>
  <c r="H377" i="1"/>
  <c r="H378" i="1"/>
  <c r="H379" i="1"/>
  <c r="H380" i="1"/>
  <c r="H381" i="1"/>
  <c r="H456" i="1"/>
  <c r="H383" i="1"/>
  <c r="H384" i="1"/>
  <c r="H385" i="1"/>
  <c r="H386" i="1"/>
  <c r="H387" i="1"/>
  <c r="H657" i="1"/>
  <c r="H389" i="1"/>
  <c r="H390" i="1"/>
  <c r="H391" i="1"/>
  <c r="H392" i="1"/>
  <c r="H393" i="1"/>
  <c r="H394" i="1"/>
  <c r="H395" i="1"/>
  <c r="H396" i="1"/>
  <c r="H203" i="1"/>
  <c r="H398" i="1"/>
  <c r="H399" i="1"/>
  <c r="H400" i="1"/>
  <c r="H401" i="1"/>
  <c r="H402" i="1"/>
  <c r="H403" i="1"/>
  <c r="H404" i="1"/>
  <c r="H405" i="1"/>
  <c r="H406" i="1"/>
  <c r="H407" i="1"/>
  <c r="H408" i="1"/>
  <c r="H409" i="1"/>
  <c r="H410" i="1"/>
  <c r="H64" i="1"/>
  <c r="H412" i="1"/>
  <c r="H413" i="1"/>
  <c r="H414" i="1"/>
  <c r="H415" i="1"/>
  <c r="H416" i="1"/>
  <c r="H417" i="1"/>
  <c r="H418" i="1"/>
  <c r="H157"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63" i="1"/>
  <c r="H457" i="1"/>
  <c r="H458" i="1"/>
  <c r="H459" i="1"/>
  <c r="H460" i="1"/>
  <c r="H461" i="1"/>
  <c r="H462" i="1"/>
  <c r="H251" i="1"/>
  <c r="H464" i="1"/>
  <c r="H465" i="1"/>
  <c r="H466" i="1"/>
  <c r="H467" i="1"/>
  <c r="H675" i="1"/>
  <c r="H469" i="1"/>
  <c r="H470" i="1"/>
  <c r="H471" i="1"/>
  <c r="H472" i="1"/>
  <c r="H473" i="1"/>
  <c r="H474" i="1"/>
  <c r="H475" i="1"/>
  <c r="H476" i="1"/>
  <c r="H477" i="1"/>
  <c r="H478" i="1"/>
  <c r="H479" i="1"/>
  <c r="H480" i="1"/>
  <c r="H481" i="1"/>
  <c r="H482" i="1"/>
  <c r="H483" i="1"/>
  <c r="H484" i="1"/>
  <c r="H485" i="1"/>
  <c r="H486" i="1"/>
  <c r="H487" i="1"/>
  <c r="H488" i="1"/>
  <c r="H489" i="1"/>
  <c r="H684" i="1"/>
  <c r="H491" i="1"/>
  <c r="H492" i="1"/>
  <c r="H493" i="1"/>
  <c r="H494" i="1"/>
  <c r="H495" i="1"/>
  <c r="H496" i="1"/>
  <c r="H497" i="1"/>
  <c r="H6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468" i="1"/>
  <c r="H526" i="1"/>
  <c r="H527" i="1"/>
  <c r="H528" i="1"/>
  <c r="H529" i="1"/>
  <c r="H530" i="1"/>
  <c r="H531" i="1"/>
  <c r="H532" i="1"/>
  <c r="H533" i="1"/>
  <c r="H534" i="1"/>
  <c r="H535" i="1"/>
  <c r="H69" i="1"/>
  <c r="H537" i="1"/>
  <c r="H538" i="1"/>
  <c r="H539" i="1"/>
  <c r="H540" i="1"/>
  <c r="H541" i="1"/>
  <c r="H542" i="1"/>
  <c r="H490"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262" i="1"/>
  <c r="H582" i="1"/>
  <c r="H583" i="1"/>
  <c r="H584" i="1"/>
  <c r="H585" i="1"/>
  <c r="H586" i="1"/>
  <c r="H587" i="1"/>
  <c r="H588" i="1"/>
  <c r="H589" i="1"/>
  <c r="H590" i="1"/>
  <c r="H83" i="1"/>
  <c r="H592" i="1"/>
  <c r="H593" i="1"/>
  <c r="H594" i="1"/>
  <c r="H595" i="1"/>
  <c r="H596" i="1"/>
  <c r="H597" i="1"/>
  <c r="H598" i="1"/>
  <c r="H599" i="1"/>
  <c r="H600" i="1"/>
  <c r="H601" i="1"/>
  <c r="H602" i="1"/>
  <c r="H603" i="1"/>
  <c r="H604" i="1"/>
  <c r="H605" i="1"/>
  <c r="H606" i="1"/>
  <c r="H607" i="1"/>
  <c r="H608" i="1"/>
  <c r="H609" i="1"/>
  <c r="H498" i="1"/>
  <c r="H611" i="1"/>
  <c r="H525" i="1"/>
  <c r="H613" i="1"/>
  <c r="H614" i="1"/>
  <c r="H615" i="1"/>
  <c r="H616" i="1"/>
  <c r="H617" i="1"/>
  <c r="H618" i="1"/>
  <c r="H619" i="1"/>
  <c r="H620" i="1"/>
  <c r="H621" i="1"/>
  <c r="H622" i="1"/>
  <c r="H623" i="1"/>
  <c r="H161" i="1"/>
  <c r="H625" i="1"/>
  <c r="H626" i="1"/>
  <c r="H627" i="1"/>
  <c r="H628" i="1"/>
  <c r="H629" i="1"/>
  <c r="H630" i="1"/>
  <c r="H631" i="1"/>
  <c r="H632" i="1"/>
  <c r="H112" i="1"/>
  <c r="H634" i="1"/>
  <c r="H635" i="1"/>
  <c r="H636" i="1"/>
  <c r="H127" i="1"/>
  <c r="H638" i="1"/>
  <c r="H639" i="1"/>
  <c r="H640" i="1"/>
  <c r="H641" i="1"/>
  <c r="H642" i="1"/>
  <c r="H643" i="1"/>
  <c r="H644" i="1"/>
  <c r="H645" i="1"/>
  <c r="H536" i="1"/>
  <c r="H647" i="1"/>
  <c r="H648" i="1"/>
  <c r="H649" i="1"/>
  <c r="H650" i="1"/>
  <c r="H543" i="1"/>
  <c r="H652" i="1"/>
  <c r="H653" i="1"/>
  <c r="H654" i="1"/>
  <c r="H655" i="1"/>
  <c r="H656" i="1"/>
  <c r="H165" i="1"/>
  <c r="H658" i="1"/>
  <c r="H659" i="1"/>
  <c r="H660" i="1"/>
  <c r="H661" i="1"/>
  <c r="H662" i="1"/>
  <c r="H663" i="1"/>
  <c r="H664" i="1"/>
  <c r="H665" i="1"/>
  <c r="H666" i="1"/>
  <c r="H667" i="1"/>
  <c r="H668" i="1"/>
  <c r="H669" i="1"/>
  <c r="H670" i="1"/>
  <c r="H671" i="1"/>
  <c r="H672" i="1"/>
  <c r="H673" i="1"/>
  <c r="H674" i="1"/>
  <c r="H687" i="1"/>
  <c r="H676" i="1"/>
  <c r="H677" i="1"/>
  <c r="H678" i="1"/>
  <c r="H679" i="1"/>
  <c r="H680" i="1"/>
  <c r="H681" i="1"/>
  <c r="H682" i="1"/>
  <c r="H683" i="1"/>
  <c r="H581" i="1"/>
  <c r="H685" i="1"/>
  <c r="H686" i="1"/>
  <c r="H166" i="1"/>
  <c r="H688" i="1"/>
  <c r="H689" i="1"/>
  <c r="H690" i="1"/>
  <c r="H691" i="1"/>
  <c r="H3" i="1"/>
  <c r="H591" i="1"/>
  <c r="H5" i="1"/>
  <c r="H6" i="1"/>
  <c r="H7" i="1"/>
  <c r="H8" i="1"/>
  <c r="H9" i="1"/>
  <c r="H10" i="1"/>
  <c r="H11" i="1"/>
  <c r="H12" i="1"/>
  <c r="H13" i="1"/>
  <c r="H14" i="1"/>
  <c r="H190" i="1"/>
  <c r="H16"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62BA1D-65E2-4236-BDA6-E60C130F36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5A8B37F-3E5D-4D0B-B4B9-9425120DC15B}" name="WorksheetConnection_Vendor Cost Dataset.xlsx!Table1" type="102" refreshedVersion="8" minRefreshableVersion="5">
    <extLst>
      <ext xmlns:x15="http://schemas.microsoft.com/office/spreadsheetml/2010/11/main" uri="{DE250136-89BD-433C-8126-D09CA5730AF9}">
        <x15:connection id="Table1" autoDelete="1">
          <x15:rangePr sourceName="_xlcn.WorksheetConnection_VendorCostDataset.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Year].&amp;[2023]}"/>
  </metadataStrings>
  <mdxMetadata count="1">
    <mdx n="0" f="s">
      <ms ns="1" c="0"/>
    </mdx>
  </mdxMetadata>
  <valueMetadata count="1">
    <bk>
      <rc t="1" v="0"/>
    </bk>
  </valueMetadata>
</metadata>
</file>

<file path=xl/sharedStrings.xml><?xml version="1.0" encoding="utf-8"?>
<sst xmlns="http://schemas.openxmlformats.org/spreadsheetml/2006/main" count="1756" uniqueCount="60">
  <si>
    <t>PO_ID</t>
  </si>
  <si>
    <t>Supplier</t>
  </si>
  <si>
    <t>Order_Date</t>
  </si>
  <si>
    <t>Delivery_Date</t>
  </si>
  <si>
    <t>Item_Category</t>
  </si>
  <si>
    <t>Order_Status</t>
  </si>
  <si>
    <t>Quantity</t>
  </si>
  <si>
    <t>Unit_Price</t>
  </si>
  <si>
    <t>Defective_Units</t>
  </si>
  <si>
    <t>Office Supplies</t>
  </si>
  <si>
    <t>MRO</t>
  </si>
  <si>
    <t>Packaging</t>
  </si>
  <si>
    <t>Raw Materials</t>
  </si>
  <si>
    <t>Electronics</t>
  </si>
  <si>
    <t>Lead  Days</t>
  </si>
  <si>
    <t>Product Analytics</t>
  </si>
  <si>
    <t>Total Cost</t>
  </si>
  <si>
    <t>Trend Analytics</t>
  </si>
  <si>
    <t>Lead Days</t>
  </si>
  <si>
    <t>Defect Rate</t>
  </si>
  <si>
    <t>Month</t>
  </si>
  <si>
    <t>Cost Analytics</t>
  </si>
  <si>
    <t>Row Labels</t>
  </si>
  <si>
    <t>January</t>
  </si>
  <si>
    <t>February</t>
  </si>
  <si>
    <t>March</t>
  </si>
  <si>
    <t>April</t>
  </si>
  <si>
    <t>May</t>
  </si>
  <si>
    <t>June</t>
  </si>
  <si>
    <t>July</t>
  </si>
  <si>
    <t>August</t>
  </si>
  <si>
    <t>September</t>
  </si>
  <si>
    <t>October</t>
  </si>
  <si>
    <t>November</t>
  </si>
  <si>
    <t>December</t>
  </si>
  <si>
    <t>Grand Total</t>
  </si>
  <si>
    <t>Sum of Quantity</t>
  </si>
  <si>
    <t>Sum of Unit_Price</t>
  </si>
  <si>
    <t>Year</t>
  </si>
  <si>
    <t>Average of Unit_Price</t>
  </si>
  <si>
    <t>Column Labels</t>
  </si>
  <si>
    <t>Sum of Total Cost</t>
  </si>
  <si>
    <t>Average of Lead  Days</t>
  </si>
  <si>
    <t>Average of Defect Rate</t>
  </si>
  <si>
    <t>Distinct Count of Supplier</t>
  </si>
  <si>
    <t>Sum of Defective_Units</t>
  </si>
  <si>
    <t>Alpha Inc</t>
  </si>
  <si>
    <t>Beta Supplies</t>
  </si>
  <si>
    <t>Delta Logistics</t>
  </si>
  <si>
    <t>Epsilon Group</t>
  </si>
  <si>
    <t>Gamma Co</t>
  </si>
  <si>
    <t>Categorial Column</t>
  </si>
  <si>
    <t>Value Column</t>
  </si>
  <si>
    <t>Item Category</t>
  </si>
  <si>
    <t>Order Date</t>
  </si>
  <si>
    <t>Delivery Date</t>
  </si>
  <si>
    <t xml:space="preserve">Month </t>
  </si>
  <si>
    <t>Unit Price</t>
  </si>
  <si>
    <t>Defective Units</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</si>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</sst>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Red]&quot;₹&quot;\ #,##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Times New Roman"/>
      <family val="1"/>
    </font>
    <font>
      <sz val="8"/>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0000"/>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6"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14" fontId="0" fillId="0" borderId="0" xfId="0" applyNumberFormat="1"/>
    <xf numFmtId="0" fontId="18" fillId="35" borderId="10" xfId="0" applyFont="1" applyFill="1" applyBorder="1" applyAlignment="1">
      <alignment horizontal="left" indent="1"/>
    </xf>
    <xf numFmtId="0" fontId="0" fillId="0" borderId="0" xfId="0" applyAlignment="1">
      <alignment horizontal="left" indent="1"/>
    </xf>
    <xf numFmtId="0" fontId="18" fillId="33" borderId="10" xfId="0" applyFont="1" applyFill="1" applyBorder="1" applyAlignment="1">
      <alignment horizontal="left" indent="1"/>
    </xf>
    <xf numFmtId="0" fontId="18" fillId="34" borderId="10" xfId="0" applyFont="1" applyFill="1" applyBorder="1" applyAlignment="1">
      <alignment horizontal="left" indent="1"/>
    </xf>
    <xf numFmtId="0" fontId="18" fillId="36" borderId="10" xfId="0" applyFont="1" applyFill="1" applyBorder="1" applyAlignment="1">
      <alignment horizontal="left" indent="1"/>
    </xf>
    <xf numFmtId="0" fontId="18" fillId="37" borderId="10" xfId="0" applyFont="1" applyFill="1" applyBorder="1" applyAlignment="1">
      <alignment horizontal="left" indent="1"/>
    </xf>
    <xf numFmtId="164" fontId="0" fillId="0" borderId="0" xfId="0" applyNumberFormat="1"/>
    <xf numFmtId="165" fontId="0" fillId="0" borderId="0" xfId="0" applyNumberFormat="1"/>
    <xf numFmtId="2" fontId="0" fillId="0" borderId="0" xfId="0" applyNumberFormat="1"/>
    <xf numFmtId="9" fontId="0" fillId="0" borderId="0" xfId="42" applyFont="1"/>
    <xf numFmtId="0" fontId="0" fillId="0" borderId="0" xfId="42" applyNumberFormat="1" applyFont="1"/>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0" fontId="0" fillId="0" borderId="0" xfId="0" applyAlignment="1">
      <alignment horizontal="left" indent="2"/>
    </xf>
    <xf numFmtId="0" fontId="0" fillId="0" borderId="0" xfId="0" applyAlignment="1">
      <alignment horizontal="left" indent="3"/>
    </xf>
    <xf numFmtId="0" fontId="16" fillId="38" borderId="11" xfId="0" applyFont="1" applyFill="1" applyBorder="1"/>
    <xf numFmtId="0" fontId="16" fillId="38" borderId="12" xfId="0" applyFont="1" applyFill="1" applyBorder="1" applyAlignment="1">
      <alignment horizontal="left"/>
    </xf>
    <xf numFmtId="164" fontId="16" fillId="38" borderId="12" xfId="0" applyNumberFormat="1" applyFont="1" applyFill="1" applyBorder="1"/>
    <xf numFmtId="165" fontId="0" fillId="0" borderId="0" xfId="0" pivotButton="1" applyNumberFormat="1"/>
    <xf numFmtId="165" fontId="0" fillId="0" borderId="0" xfId="0" applyNumberFormat="1" applyAlignment="1">
      <alignment horizontal="left"/>
    </xf>
    <xf numFmtId="44" fontId="0" fillId="0" borderId="0" xfId="0" applyNumberFormat="1"/>
    <xf numFmtId="0" fontId="16" fillId="39" borderId="10" xfId="0" applyFont="1" applyFill="1" applyBorder="1"/>
    <xf numFmtId="0" fontId="16" fillId="35" borderId="10" xfId="0" applyFont="1" applyFill="1" applyBorder="1"/>
    <xf numFmtId="0" fontId="0" fillId="39" borderId="10" xfId="0" applyFill="1" applyBorder="1"/>
    <xf numFmtId="0" fontId="0" fillId="35" borderId="10" xfId="0" applyFill="1" applyBorder="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1">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13" formatCode="0%"/>
    </dxf>
    <dxf>
      <numFmt numFmtId="34" formatCode="_ &quot;₹&quot;\ * #,##0.00_ ;_ &quot;₹&quot;\ * \-#,##0.00_ ;_ &quot;₹&quot;\ * &quot;-&quot;??_ ;_ @_ "/>
    </dxf>
    <dxf>
      <numFmt numFmtId="1" formatCode="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3" formatCode="0%"/>
    </dxf>
    <dxf>
      <numFmt numFmtId="165" formatCode="&quot;₹&quot;\ #,##0.00"/>
    </dxf>
    <dxf>
      <numFmt numFmtId="165" formatCode="&quot;₹&quot;\ #,##0.0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13" formatCode="0%"/>
    </dxf>
    <dxf>
      <numFmt numFmtId="34" formatCode="_ &quot;₹&quot;\ * #,##0.00_ ;_ &quot;₹&quot;\ * \-#,##0.00_ ;_ &quot;₹&quot;\ * &quot;-&quot;??_ ;_ @_ "/>
    </dxf>
    <dxf>
      <numFmt numFmtId="1" formatCode="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3" formatCode="0%"/>
    </dxf>
    <dxf>
      <numFmt numFmtId="165" formatCode="&quot;₹&quot;\ #,##0.00"/>
    </dxf>
    <dxf>
      <numFmt numFmtId="165" formatCode="&quot;₹&quot;\ #,##0.0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13" formatCode="0%"/>
    </dxf>
    <dxf>
      <numFmt numFmtId="34" formatCode="_ &quot;₹&quot;\ * #,##0.00_ ;_ &quot;₹&quot;\ * \-#,##0.00_ ;_ &quot;₹&quot;\ * &quot;-&quot;??_ ;_ @_ "/>
    </dxf>
    <dxf>
      <numFmt numFmtId="1" formatCode="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3" formatCode="0%"/>
    </dxf>
    <dxf>
      <numFmt numFmtId="165" formatCode="&quot;₹&quot;\ #,##0.00"/>
    </dxf>
    <dxf>
      <numFmt numFmtId="165" formatCode="&quot;₹&quot;\ #,##0.00"/>
    </dxf>
    <dxf>
      <numFmt numFmtId="1" formatCode="0"/>
    </dxf>
    <dxf>
      <numFmt numFmtId="34" formatCode="_ &quot;₹&quot;\ * #,##0.00_ ;_ &quot;₹&quot;\ * \-#,##0.00_ ;_ &quot;₹&quot;\ * &quot;-&quot;??_ ;_ @_ "/>
    </dxf>
    <dxf>
      <numFmt numFmtId="13" formatCode="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 formatCode="0"/>
    </dxf>
    <dxf>
      <numFmt numFmtId="165" formatCode="&quot;₹&quot;\ #,##0.00"/>
    </dxf>
    <dxf>
      <numFmt numFmtId="165" formatCode="&quot;₹&quot;\ #,##0.00"/>
    </dxf>
    <dxf>
      <numFmt numFmtId="13" formatCode="0%"/>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165" formatCode="&quot;₹&quot;\ #,##0.00"/>
    </dxf>
    <dxf>
      <numFmt numFmtId="164" formatCode="&quot;₹&quot;\ #,##0.00;[Red]&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37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Slicer!$V$5:$V$7</c:f>
              <c:strCache>
                <c:ptCount val="1"/>
                <c:pt idx="0">
                  <c:v>MRO - 2023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Slicer!$U$8:$U$13</c:f>
              <c:strCache>
                <c:ptCount val="5"/>
                <c:pt idx="0">
                  <c:v>Alpha Inc</c:v>
                </c:pt>
                <c:pt idx="1">
                  <c:v>Gamma Co</c:v>
                </c:pt>
                <c:pt idx="2">
                  <c:v>Beta Supplies</c:v>
                </c:pt>
                <c:pt idx="3">
                  <c:v>Delta Logistics</c:v>
                </c:pt>
                <c:pt idx="4">
                  <c:v>Epsilon Group</c:v>
                </c:pt>
              </c:strCache>
            </c:strRef>
          </c:cat>
          <c:val>
            <c:numRef>
              <c:f>Slicer!$V$8:$V$13</c:f>
              <c:numCache>
                <c:formatCode>"₹"\ #,##0.00</c:formatCode>
                <c:ptCount val="5"/>
                <c:pt idx="0">
                  <c:v>58.664375</c:v>
                </c:pt>
                <c:pt idx="1">
                  <c:v>60.754615384615377</c:v>
                </c:pt>
                <c:pt idx="2">
                  <c:v>61.038125000000001</c:v>
                </c:pt>
                <c:pt idx="3">
                  <c:v>64.56941176470589</c:v>
                </c:pt>
                <c:pt idx="4">
                  <c:v>65.332142857142856</c:v>
                </c:pt>
              </c:numCache>
            </c:numRef>
          </c:val>
          <c:extLst>
            <c:ext xmlns:c16="http://schemas.microsoft.com/office/drawing/2014/chart" uri="{C3380CC4-5D6E-409C-BE32-E72D297353CC}">
              <c16:uniqueId val="{00000001-CFA9-4F9C-BEB9-3899EF0044BD}"/>
            </c:ext>
          </c:extLst>
        </c:ser>
        <c:dLbls>
          <c:dLblPos val="outEnd"/>
          <c:showLegendKey val="0"/>
          <c:showVal val="1"/>
          <c:showCatName val="0"/>
          <c:showSerName val="0"/>
          <c:showPercent val="0"/>
          <c:showBubbleSize val="0"/>
        </c:dLbls>
        <c:gapWidth val="219"/>
        <c:overlap val="-27"/>
        <c:axId val="425836016"/>
        <c:axId val="425833616"/>
      </c:barChart>
      <c:catAx>
        <c:axId val="4258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33616"/>
        <c:crosses val="autoZero"/>
        <c:auto val="1"/>
        <c:lblAlgn val="ctr"/>
        <c:lblOffset val="100"/>
        <c:noMultiLvlLbl val="0"/>
      </c:catAx>
      <c:valAx>
        <c:axId val="425833616"/>
        <c:scaling>
          <c:orientation val="minMax"/>
        </c:scaling>
        <c:delete val="1"/>
        <c:axPos val="l"/>
        <c:numFmt formatCode="&quot;₹&quot;\ #,##0.00" sourceLinked="1"/>
        <c:majorTickMark val="none"/>
        <c:minorTickMark val="none"/>
        <c:tickLblPos val="nextTo"/>
        <c:crossAx val="425836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Delivery</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Slicer!$W$38:$W$39</c:f>
              <c:strCache>
                <c:ptCount val="1"/>
                <c:pt idx="0">
                  <c:v>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Slicer!$V$40:$V$45</c:f>
              <c:strCache>
                <c:ptCount val="5"/>
                <c:pt idx="0">
                  <c:v>Gamma Co</c:v>
                </c:pt>
                <c:pt idx="1">
                  <c:v>Epsilon Group</c:v>
                </c:pt>
                <c:pt idx="2">
                  <c:v>Beta Supplies</c:v>
                </c:pt>
                <c:pt idx="3">
                  <c:v>Alpha Inc</c:v>
                </c:pt>
                <c:pt idx="4">
                  <c:v>Delta Logistics</c:v>
                </c:pt>
              </c:strCache>
            </c:strRef>
          </c:cat>
          <c:val>
            <c:numRef>
              <c:f>Slicer!$W$40:$W$45</c:f>
              <c:numCache>
                <c:formatCode>0.00</c:formatCode>
                <c:ptCount val="5"/>
                <c:pt idx="0">
                  <c:v>10.153846153846153</c:v>
                </c:pt>
                <c:pt idx="1">
                  <c:v>10.214285714285714</c:v>
                </c:pt>
                <c:pt idx="2">
                  <c:v>10.3125</c:v>
                </c:pt>
                <c:pt idx="3">
                  <c:v>12.375</c:v>
                </c:pt>
                <c:pt idx="4">
                  <c:v>12.882352941176471</c:v>
                </c:pt>
              </c:numCache>
            </c:numRef>
          </c:val>
          <c:extLst>
            <c:ext xmlns:c16="http://schemas.microsoft.com/office/drawing/2014/chart" uri="{C3380CC4-5D6E-409C-BE32-E72D297353CC}">
              <c16:uniqueId val="{00000001-49C9-4777-AA8F-FC0552E8A86A}"/>
            </c:ext>
          </c:extLst>
        </c:ser>
        <c:dLbls>
          <c:dLblPos val="outEnd"/>
          <c:showLegendKey val="0"/>
          <c:showVal val="1"/>
          <c:showCatName val="0"/>
          <c:showSerName val="0"/>
          <c:showPercent val="0"/>
          <c:showBubbleSize val="0"/>
        </c:dLbls>
        <c:gapWidth val="182"/>
        <c:axId val="474242400"/>
        <c:axId val="474241440"/>
      </c:barChart>
      <c:catAx>
        <c:axId val="474242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41440"/>
        <c:crosses val="autoZero"/>
        <c:auto val="1"/>
        <c:lblAlgn val="ctr"/>
        <c:lblOffset val="100"/>
        <c:noMultiLvlLbl val="0"/>
      </c:catAx>
      <c:valAx>
        <c:axId val="474241440"/>
        <c:scaling>
          <c:orientation val="minMax"/>
        </c:scaling>
        <c:delete val="1"/>
        <c:axPos val="b"/>
        <c:numFmt formatCode="0.00" sourceLinked="1"/>
        <c:majorTickMark val="none"/>
        <c:minorTickMark val="none"/>
        <c:tickLblPos val="nextTo"/>
        <c:crossAx val="47424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Supplier</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Slicer!$W$54</c:f>
              <c:strCache>
                <c:ptCount val="1"/>
                <c:pt idx="0">
                  <c:v>Average of Lead  Days</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Slicer!$V$55:$V$60</c:f>
              <c:strCache>
                <c:ptCount val="5"/>
                <c:pt idx="0">
                  <c:v>Alpha Inc</c:v>
                </c:pt>
                <c:pt idx="1">
                  <c:v>Gamma Co</c:v>
                </c:pt>
                <c:pt idx="2">
                  <c:v>Beta Supplies</c:v>
                </c:pt>
                <c:pt idx="3">
                  <c:v>Delta Logistics</c:v>
                </c:pt>
                <c:pt idx="4">
                  <c:v>Epsilon Group</c:v>
                </c:pt>
              </c:strCache>
            </c:strRef>
          </c:cat>
          <c:val>
            <c:numRef>
              <c:f>Slicer!$W$55:$W$60</c:f>
              <c:numCache>
                <c:formatCode>0.00</c:formatCode>
                <c:ptCount val="5"/>
                <c:pt idx="0">
                  <c:v>12.375</c:v>
                </c:pt>
                <c:pt idx="1">
                  <c:v>10.153846153846153</c:v>
                </c:pt>
                <c:pt idx="2">
                  <c:v>10.3125</c:v>
                </c:pt>
                <c:pt idx="3">
                  <c:v>12.882352941176471</c:v>
                </c:pt>
                <c:pt idx="4">
                  <c:v>10.214285714285714</c:v>
                </c:pt>
              </c:numCache>
            </c:numRef>
          </c:val>
          <c:extLst>
            <c:ext xmlns:c16="http://schemas.microsoft.com/office/drawing/2014/chart" uri="{C3380CC4-5D6E-409C-BE32-E72D297353CC}">
              <c16:uniqueId val="{00000003-613E-45AA-9027-582F64EAF20E}"/>
            </c:ext>
          </c:extLst>
        </c:ser>
        <c:ser>
          <c:idx val="1"/>
          <c:order val="1"/>
          <c:tx>
            <c:strRef>
              <c:f>Slicer!$X$54</c:f>
              <c:strCache>
                <c:ptCount val="1"/>
                <c:pt idx="0">
                  <c:v>Average of Defect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Slicer!$V$55:$V$60</c:f>
              <c:strCache>
                <c:ptCount val="5"/>
                <c:pt idx="0">
                  <c:v>Alpha Inc</c:v>
                </c:pt>
                <c:pt idx="1">
                  <c:v>Gamma Co</c:v>
                </c:pt>
                <c:pt idx="2">
                  <c:v>Beta Supplies</c:v>
                </c:pt>
                <c:pt idx="3">
                  <c:v>Delta Logistics</c:v>
                </c:pt>
                <c:pt idx="4">
                  <c:v>Epsilon Group</c:v>
                </c:pt>
              </c:strCache>
            </c:strRef>
          </c:cat>
          <c:val>
            <c:numRef>
              <c:f>Slicer!$X$55:$X$60</c:f>
              <c:numCache>
                <c:formatCode>0%</c:formatCode>
                <c:ptCount val="5"/>
                <c:pt idx="0">
                  <c:v>1.6058249830288265E-2</c:v>
                </c:pt>
                <c:pt idx="1">
                  <c:v>3.9186874629180017E-2</c:v>
                </c:pt>
                <c:pt idx="2">
                  <c:v>9.5834530631780129E-2</c:v>
                </c:pt>
                <c:pt idx="3">
                  <c:v>9.6588690695602275E-2</c:v>
                </c:pt>
                <c:pt idx="4">
                  <c:v>3.0240759364318841E-2</c:v>
                </c:pt>
              </c:numCache>
            </c:numRef>
          </c:val>
          <c:extLst>
            <c:ext xmlns:c16="http://schemas.microsoft.com/office/drawing/2014/chart" uri="{C3380CC4-5D6E-409C-BE32-E72D297353CC}">
              <c16:uniqueId val="{00000004-613E-45AA-9027-582F64EAF20E}"/>
            </c:ext>
          </c:extLst>
        </c:ser>
        <c:ser>
          <c:idx val="2"/>
          <c:order val="2"/>
          <c:tx>
            <c:strRef>
              <c:f>Slicer!$Y$54</c:f>
              <c:strCache>
                <c:ptCount val="1"/>
                <c:pt idx="0">
                  <c:v>Average of Unit_Price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Slicer!$V$55:$V$60</c:f>
              <c:strCache>
                <c:ptCount val="5"/>
                <c:pt idx="0">
                  <c:v>Alpha Inc</c:v>
                </c:pt>
                <c:pt idx="1">
                  <c:v>Gamma Co</c:v>
                </c:pt>
                <c:pt idx="2">
                  <c:v>Beta Supplies</c:v>
                </c:pt>
                <c:pt idx="3">
                  <c:v>Delta Logistics</c:v>
                </c:pt>
                <c:pt idx="4">
                  <c:v>Epsilon Group</c:v>
                </c:pt>
              </c:strCache>
            </c:strRef>
          </c:cat>
          <c:val>
            <c:numRef>
              <c:f>Slicer!$Y$55:$Y$60</c:f>
              <c:numCache>
                <c:formatCode>_("₹"* #,##0.00_);_("₹"* \(#,##0.00\);_("₹"* "-"??_);_(@_)</c:formatCode>
                <c:ptCount val="5"/>
                <c:pt idx="0">
                  <c:v>58.664375</c:v>
                </c:pt>
                <c:pt idx="1">
                  <c:v>60.754615384615377</c:v>
                </c:pt>
                <c:pt idx="2">
                  <c:v>61.038125000000001</c:v>
                </c:pt>
                <c:pt idx="3">
                  <c:v>64.56941176470589</c:v>
                </c:pt>
                <c:pt idx="4">
                  <c:v>65.332142857142856</c:v>
                </c:pt>
              </c:numCache>
            </c:numRef>
          </c:val>
          <c:extLst>
            <c:ext xmlns:c16="http://schemas.microsoft.com/office/drawing/2014/chart" uri="{C3380CC4-5D6E-409C-BE32-E72D297353CC}">
              <c16:uniqueId val="{00000005-613E-45AA-9027-582F64EAF20E}"/>
            </c:ext>
          </c:extLst>
        </c:ser>
        <c:dLbls>
          <c:dLblPos val="outEnd"/>
          <c:showLegendKey val="0"/>
          <c:showVal val="1"/>
          <c:showCatName val="0"/>
          <c:showSerName val="0"/>
          <c:showPercent val="0"/>
          <c:showBubbleSize val="0"/>
        </c:dLbls>
        <c:gapWidth val="219"/>
        <c:overlap val="-27"/>
        <c:axId val="1441408463"/>
        <c:axId val="1441392143"/>
      </c:barChart>
      <c:catAx>
        <c:axId val="144140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392143"/>
        <c:crosses val="autoZero"/>
        <c:auto val="1"/>
        <c:lblAlgn val="ctr"/>
        <c:lblOffset val="100"/>
        <c:noMultiLvlLbl val="0"/>
      </c:catAx>
      <c:valAx>
        <c:axId val="1441392143"/>
        <c:scaling>
          <c:orientation val="minMax"/>
        </c:scaling>
        <c:delete val="1"/>
        <c:axPos val="l"/>
        <c:numFmt formatCode="0.00" sourceLinked="1"/>
        <c:majorTickMark val="none"/>
        <c:minorTickMark val="none"/>
        <c:tickLblPos val="nextTo"/>
        <c:crossAx val="144140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Dashboard.xlsx]Slicer!PivotTable5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Procurement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Slicer!$V$77:$V$79</c:f>
              <c:strCache>
                <c:ptCount val="1"/>
                <c:pt idx="0">
                  <c:v>Alpha Inc - 2023</c:v>
                </c:pt>
              </c:strCache>
            </c:strRef>
          </c:tx>
          <c:spPr>
            <a:ln w="28575" cap="rnd">
              <a:solidFill>
                <a:schemeClr val="accent1"/>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Slicer!$V$80:$V$92</c:f>
              <c:numCache>
                <c:formatCode>General</c:formatCode>
                <c:ptCount val="12"/>
                <c:pt idx="0">
                  <c:v>146075.74</c:v>
                </c:pt>
                <c:pt idx="1">
                  <c:v>33333.759999999995</c:v>
                </c:pt>
                <c:pt idx="2">
                  <c:v>30579.440000000002</c:v>
                </c:pt>
                <c:pt idx="4">
                  <c:v>191333.97</c:v>
                </c:pt>
                <c:pt idx="5">
                  <c:v>173314.86</c:v>
                </c:pt>
                <c:pt idx="6">
                  <c:v>44245.560000000005</c:v>
                </c:pt>
                <c:pt idx="7">
                  <c:v>91690.99</c:v>
                </c:pt>
                <c:pt idx="8">
                  <c:v>136501.67000000001</c:v>
                </c:pt>
                <c:pt idx="10">
                  <c:v>106976.07</c:v>
                </c:pt>
                <c:pt idx="11">
                  <c:v>65498.239999999998</c:v>
                </c:pt>
              </c:numCache>
            </c:numRef>
          </c:val>
          <c:smooth val="0"/>
          <c:extLst>
            <c:ext xmlns:c16="http://schemas.microsoft.com/office/drawing/2014/chart" uri="{C3380CC4-5D6E-409C-BE32-E72D297353CC}">
              <c16:uniqueId val="{00000001-44A3-4B3E-9AA6-E47879BDF160}"/>
            </c:ext>
          </c:extLst>
        </c:ser>
        <c:ser>
          <c:idx val="1"/>
          <c:order val="1"/>
          <c:tx>
            <c:strRef>
              <c:f>Slicer!$W$77:$W$79</c:f>
              <c:strCache>
                <c:ptCount val="1"/>
                <c:pt idx="0">
                  <c:v>Beta Supplies - 2023</c:v>
                </c:pt>
              </c:strCache>
            </c:strRef>
          </c:tx>
          <c:spPr>
            <a:ln w="28575" cap="rnd">
              <a:solidFill>
                <a:schemeClr val="accent2"/>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Slicer!$W$80:$W$92</c:f>
              <c:numCache>
                <c:formatCode>General</c:formatCode>
                <c:ptCount val="12"/>
                <c:pt idx="0">
                  <c:v>37917</c:v>
                </c:pt>
                <c:pt idx="1">
                  <c:v>42995.6</c:v>
                </c:pt>
                <c:pt idx="2">
                  <c:v>80260.5</c:v>
                </c:pt>
                <c:pt idx="3">
                  <c:v>235870.31</c:v>
                </c:pt>
                <c:pt idx="5">
                  <c:v>154004.6</c:v>
                </c:pt>
                <c:pt idx="6">
                  <c:v>16956.98</c:v>
                </c:pt>
                <c:pt idx="7">
                  <c:v>88962.72</c:v>
                </c:pt>
                <c:pt idx="8">
                  <c:v>334694.83</c:v>
                </c:pt>
                <c:pt idx="9">
                  <c:v>14159.470000000001</c:v>
                </c:pt>
                <c:pt idx="10">
                  <c:v>93299.64</c:v>
                </c:pt>
                <c:pt idx="11">
                  <c:v>106001.51999999999</c:v>
                </c:pt>
              </c:numCache>
            </c:numRef>
          </c:val>
          <c:smooth val="0"/>
          <c:extLst>
            <c:ext xmlns:c16="http://schemas.microsoft.com/office/drawing/2014/chart" uri="{C3380CC4-5D6E-409C-BE32-E72D297353CC}">
              <c16:uniqueId val="{00000016-C6D7-433F-8990-8F0261A26B91}"/>
            </c:ext>
          </c:extLst>
        </c:ser>
        <c:ser>
          <c:idx val="2"/>
          <c:order val="2"/>
          <c:tx>
            <c:strRef>
              <c:f>Slicer!$X$77:$X$79</c:f>
              <c:strCache>
                <c:ptCount val="1"/>
                <c:pt idx="0">
                  <c:v>Delta Logistics - 2023</c:v>
                </c:pt>
              </c:strCache>
            </c:strRef>
          </c:tx>
          <c:spPr>
            <a:ln w="28575" cap="rnd">
              <a:solidFill>
                <a:schemeClr val="accent3"/>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Slicer!$X$80:$X$92</c:f>
              <c:numCache>
                <c:formatCode>General</c:formatCode>
                <c:ptCount val="12"/>
                <c:pt idx="0">
                  <c:v>185645.96000000002</c:v>
                </c:pt>
                <c:pt idx="2">
                  <c:v>16062.289999999999</c:v>
                </c:pt>
                <c:pt idx="4">
                  <c:v>72705.429999999993</c:v>
                </c:pt>
                <c:pt idx="5">
                  <c:v>53913.279999999999</c:v>
                </c:pt>
                <c:pt idx="6">
                  <c:v>25221.06</c:v>
                </c:pt>
                <c:pt idx="8">
                  <c:v>37137.839999999997</c:v>
                </c:pt>
                <c:pt idx="9">
                  <c:v>185645.74</c:v>
                </c:pt>
                <c:pt idx="10">
                  <c:v>133846.81</c:v>
                </c:pt>
                <c:pt idx="11">
                  <c:v>254371.24</c:v>
                </c:pt>
              </c:numCache>
            </c:numRef>
          </c:val>
          <c:smooth val="0"/>
          <c:extLst>
            <c:ext xmlns:c16="http://schemas.microsoft.com/office/drawing/2014/chart" uri="{C3380CC4-5D6E-409C-BE32-E72D297353CC}">
              <c16:uniqueId val="{00000017-C6D7-433F-8990-8F0261A26B91}"/>
            </c:ext>
          </c:extLst>
        </c:ser>
        <c:ser>
          <c:idx val="3"/>
          <c:order val="3"/>
          <c:tx>
            <c:strRef>
              <c:f>Slicer!$Y$77:$Y$79</c:f>
              <c:strCache>
                <c:ptCount val="1"/>
                <c:pt idx="0">
                  <c:v>Epsilon Group - 2023</c:v>
                </c:pt>
              </c:strCache>
            </c:strRef>
          </c:tx>
          <c:spPr>
            <a:ln w="28575" cap="rnd">
              <a:solidFill>
                <a:schemeClr val="accent4"/>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Slicer!$Y$80:$Y$92</c:f>
              <c:numCache>
                <c:formatCode>General</c:formatCode>
                <c:ptCount val="12"/>
                <c:pt idx="0">
                  <c:v>19290.96</c:v>
                </c:pt>
                <c:pt idx="1">
                  <c:v>164908.47</c:v>
                </c:pt>
                <c:pt idx="2">
                  <c:v>291742.28999999998</c:v>
                </c:pt>
                <c:pt idx="3">
                  <c:v>78127.8</c:v>
                </c:pt>
                <c:pt idx="4">
                  <c:v>246635.77</c:v>
                </c:pt>
                <c:pt idx="5">
                  <c:v>47230.400000000001</c:v>
                </c:pt>
                <c:pt idx="6">
                  <c:v>113393</c:v>
                </c:pt>
                <c:pt idx="7">
                  <c:v>85071.14</c:v>
                </c:pt>
                <c:pt idx="9">
                  <c:v>170662.09</c:v>
                </c:pt>
              </c:numCache>
            </c:numRef>
          </c:val>
          <c:smooth val="0"/>
          <c:extLst>
            <c:ext xmlns:c16="http://schemas.microsoft.com/office/drawing/2014/chart" uri="{C3380CC4-5D6E-409C-BE32-E72D297353CC}">
              <c16:uniqueId val="{00000018-C6D7-433F-8990-8F0261A26B91}"/>
            </c:ext>
          </c:extLst>
        </c:ser>
        <c:ser>
          <c:idx val="4"/>
          <c:order val="4"/>
          <c:tx>
            <c:strRef>
              <c:f>Slicer!$Z$77:$Z$79</c:f>
              <c:strCache>
                <c:ptCount val="1"/>
                <c:pt idx="0">
                  <c:v>Gamma Co - 2023</c:v>
                </c:pt>
              </c:strCache>
            </c:strRef>
          </c:tx>
          <c:spPr>
            <a:ln w="28575" cap="rnd">
              <a:solidFill>
                <a:schemeClr val="accent5"/>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Slicer!$Z$80:$Z$92</c:f>
              <c:numCache>
                <c:formatCode>General</c:formatCode>
                <c:ptCount val="12"/>
                <c:pt idx="1">
                  <c:v>22979.32</c:v>
                </c:pt>
                <c:pt idx="2">
                  <c:v>40246.480000000003</c:v>
                </c:pt>
                <c:pt idx="4">
                  <c:v>320770.05000000005</c:v>
                </c:pt>
                <c:pt idx="6">
                  <c:v>38883.769999999997</c:v>
                </c:pt>
                <c:pt idx="7">
                  <c:v>159610.28</c:v>
                </c:pt>
                <c:pt idx="9">
                  <c:v>308348.07999999996</c:v>
                </c:pt>
                <c:pt idx="10">
                  <c:v>99656.23000000001</c:v>
                </c:pt>
              </c:numCache>
            </c:numRef>
          </c:val>
          <c:smooth val="0"/>
          <c:extLst>
            <c:ext xmlns:c16="http://schemas.microsoft.com/office/drawing/2014/chart" uri="{C3380CC4-5D6E-409C-BE32-E72D297353CC}">
              <c16:uniqueId val="{00000019-C6D7-433F-8990-8F0261A26B91}"/>
            </c:ext>
          </c:extLst>
        </c:ser>
        <c:dLbls>
          <c:showLegendKey val="0"/>
          <c:showVal val="0"/>
          <c:showCatName val="0"/>
          <c:showSerName val="0"/>
          <c:showPercent val="0"/>
          <c:showBubbleSize val="0"/>
        </c:dLbls>
        <c:smooth val="0"/>
        <c:axId val="1441406543"/>
        <c:axId val="1441396463"/>
      </c:lineChart>
      <c:catAx>
        <c:axId val="144140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396463"/>
        <c:crosses val="autoZero"/>
        <c:auto val="1"/>
        <c:lblAlgn val="ctr"/>
        <c:lblOffset val="100"/>
        <c:noMultiLvlLbl val="0"/>
      </c:catAx>
      <c:valAx>
        <c:axId val="1441396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40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Dashboard.xlsx]Slicer!PivotTable6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Delivery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Slicer!$V$98:$V$99</c:f>
              <c:strCache>
                <c:ptCount val="1"/>
                <c:pt idx="0">
                  <c:v>2023</c:v>
                </c:pt>
              </c:strCache>
            </c:strRef>
          </c:tx>
          <c:spPr>
            <a:ln w="28575" cap="rnd">
              <a:solidFill>
                <a:schemeClr val="accent1"/>
              </a:solidFill>
              <a:round/>
            </a:ln>
            <a:effectLst/>
          </c:spPr>
          <c:marker>
            <c:symbol val="none"/>
          </c:marker>
          <c:cat>
            <c:multiLvlStrRef>
              <c:f>Slicer!$U$100:$U$151</c:f>
              <c:multiLvlStrCache>
                <c:ptCount val="46"/>
                <c:lvl>
                  <c:pt idx="0">
                    <c:v>April</c:v>
                  </c:pt>
                  <c:pt idx="1">
                    <c:v>August</c:v>
                  </c:pt>
                  <c:pt idx="2">
                    <c:v>December</c:v>
                  </c:pt>
                  <c:pt idx="3">
                    <c:v>January</c:v>
                  </c:pt>
                  <c:pt idx="4">
                    <c:v>July</c:v>
                  </c:pt>
                  <c:pt idx="5">
                    <c:v>June</c:v>
                  </c:pt>
                  <c:pt idx="6">
                    <c:v>March</c:v>
                  </c:pt>
                  <c:pt idx="7">
                    <c:v>May</c:v>
                  </c:pt>
                  <c:pt idx="8">
                    <c:v>October</c:v>
                  </c:pt>
                  <c:pt idx="9">
                    <c:v>September</c:v>
                  </c:pt>
                  <c:pt idx="10">
                    <c:v>April</c:v>
                  </c:pt>
                  <c:pt idx="11">
                    <c:v>August</c:v>
                  </c:pt>
                  <c:pt idx="12">
                    <c:v>December</c:v>
                  </c:pt>
                  <c:pt idx="13">
                    <c:v>February</c:v>
                  </c:pt>
                  <c:pt idx="14">
                    <c:v>July</c:v>
                  </c:pt>
                  <c:pt idx="15">
                    <c:v>June</c:v>
                  </c:pt>
                  <c:pt idx="16">
                    <c:v>March</c:v>
                  </c:pt>
                  <c:pt idx="17">
                    <c:v>May</c:v>
                  </c:pt>
                  <c:pt idx="18">
                    <c:v>November</c:v>
                  </c:pt>
                  <c:pt idx="19">
                    <c:v>October</c:v>
                  </c:pt>
                  <c:pt idx="20">
                    <c:v>September</c:v>
                  </c:pt>
                  <c:pt idx="21">
                    <c:v>April</c:v>
                  </c:pt>
                  <c:pt idx="22">
                    <c:v>December</c:v>
                  </c:pt>
                  <c:pt idx="23">
                    <c:v>January</c:v>
                  </c:pt>
                  <c:pt idx="24">
                    <c:v>July</c:v>
                  </c:pt>
                  <c:pt idx="25">
                    <c:v>June</c:v>
                  </c:pt>
                  <c:pt idx="26">
                    <c:v>May</c:v>
                  </c:pt>
                  <c:pt idx="27">
                    <c:v>November</c:v>
                  </c:pt>
                  <c:pt idx="28">
                    <c:v>October</c:v>
                  </c:pt>
                  <c:pt idx="29">
                    <c:v>September</c:v>
                  </c:pt>
                  <c:pt idx="30">
                    <c:v>April</c:v>
                  </c:pt>
                  <c:pt idx="31">
                    <c:v>August</c:v>
                  </c:pt>
                  <c:pt idx="32">
                    <c:v>December</c:v>
                  </c:pt>
                  <c:pt idx="33">
                    <c:v>February</c:v>
                  </c:pt>
                  <c:pt idx="34">
                    <c:v>January</c:v>
                  </c:pt>
                  <c:pt idx="35">
                    <c:v>July</c:v>
                  </c:pt>
                  <c:pt idx="36">
                    <c:v>June</c:v>
                  </c:pt>
                  <c:pt idx="37">
                    <c:v>March</c:v>
                  </c:pt>
                  <c:pt idx="38">
                    <c:v>November</c:v>
                  </c:pt>
                  <c:pt idx="39">
                    <c:v>August</c:v>
                  </c:pt>
                  <c:pt idx="40">
                    <c:v>December</c:v>
                  </c:pt>
                  <c:pt idx="41">
                    <c:v>January</c:v>
                  </c:pt>
                  <c:pt idx="42">
                    <c:v>June</c:v>
                  </c:pt>
                  <c:pt idx="43">
                    <c:v>March</c:v>
                  </c:pt>
                  <c:pt idx="44">
                    <c:v>November</c:v>
                  </c:pt>
                  <c:pt idx="45">
                    <c:v>October</c:v>
                  </c:pt>
                </c:lvl>
                <c:lvl>
                  <c:pt idx="0">
                    <c:v>Alpha Inc</c:v>
                  </c:pt>
                  <c:pt idx="10">
                    <c:v>Beta Supplies</c:v>
                  </c:pt>
                  <c:pt idx="21">
                    <c:v>Delta Logistics</c:v>
                  </c:pt>
                  <c:pt idx="30">
                    <c:v>Epsilon Group</c:v>
                  </c:pt>
                  <c:pt idx="39">
                    <c:v>Gamma Co</c:v>
                  </c:pt>
                </c:lvl>
              </c:multiLvlStrCache>
            </c:multiLvlStrRef>
          </c:cat>
          <c:val>
            <c:numRef>
              <c:f>Slicer!$V$100:$V$151</c:f>
              <c:numCache>
                <c:formatCode>General</c:formatCode>
                <c:ptCount val="46"/>
                <c:pt idx="0">
                  <c:v>14</c:v>
                </c:pt>
                <c:pt idx="1">
                  <c:v>9</c:v>
                </c:pt>
                <c:pt idx="2">
                  <c:v>18</c:v>
                </c:pt>
                <c:pt idx="3">
                  <c:v>12</c:v>
                </c:pt>
                <c:pt idx="4">
                  <c:v>4</c:v>
                </c:pt>
                <c:pt idx="5">
                  <c:v>16</c:v>
                </c:pt>
                <c:pt idx="6">
                  <c:v>13</c:v>
                </c:pt>
                <c:pt idx="7">
                  <c:v>12.5</c:v>
                </c:pt>
                <c:pt idx="8">
                  <c:v>16.5</c:v>
                </c:pt>
                <c:pt idx="9">
                  <c:v>2</c:v>
                </c:pt>
                <c:pt idx="10">
                  <c:v>14</c:v>
                </c:pt>
                <c:pt idx="11">
                  <c:v>13</c:v>
                </c:pt>
                <c:pt idx="12">
                  <c:v>9</c:v>
                </c:pt>
                <c:pt idx="13">
                  <c:v>15</c:v>
                </c:pt>
                <c:pt idx="14">
                  <c:v>6.5</c:v>
                </c:pt>
                <c:pt idx="15">
                  <c:v>3</c:v>
                </c:pt>
                <c:pt idx="16">
                  <c:v>20</c:v>
                </c:pt>
                <c:pt idx="17">
                  <c:v>8</c:v>
                </c:pt>
                <c:pt idx="18">
                  <c:v>14</c:v>
                </c:pt>
                <c:pt idx="19">
                  <c:v>7</c:v>
                </c:pt>
                <c:pt idx="20">
                  <c:v>4</c:v>
                </c:pt>
                <c:pt idx="21">
                  <c:v>18</c:v>
                </c:pt>
                <c:pt idx="22">
                  <c:v>12</c:v>
                </c:pt>
                <c:pt idx="23">
                  <c:v>18</c:v>
                </c:pt>
                <c:pt idx="24">
                  <c:v>13</c:v>
                </c:pt>
                <c:pt idx="25">
                  <c:v>11</c:v>
                </c:pt>
                <c:pt idx="26">
                  <c:v>16</c:v>
                </c:pt>
                <c:pt idx="27">
                  <c:v>7</c:v>
                </c:pt>
                <c:pt idx="28">
                  <c:v>15.5</c:v>
                </c:pt>
                <c:pt idx="29">
                  <c:v>12.666666666666666</c:v>
                </c:pt>
                <c:pt idx="30">
                  <c:v>13</c:v>
                </c:pt>
                <c:pt idx="31">
                  <c:v>14.5</c:v>
                </c:pt>
                <c:pt idx="32">
                  <c:v>5</c:v>
                </c:pt>
                <c:pt idx="33">
                  <c:v>12</c:v>
                </c:pt>
                <c:pt idx="34">
                  <c:v>10.5</c:v>
                </c:pt>
                <c:pt idx="35">
                  <c:v>11</c:v>
                </c:pt>
                <c:pt idx="36">
                  <c:v>3</c:v>
                </c:pt>
                <c:pt idx="37">
                  <c:v>19</c:v>
                </c:pt>
                <c:pt idx="38">
                  <c:v>10</c:v>
                </c:pt>
                <c:pt idx="39">
                  <c:v>2</c:v>
                </c:pt>
                <c:pt idx="40">
                  <c:v>20</c:v>
                </c:pt>
                <c:pt idx="41">
                  <c:v>11.5</c:v>
                </c:pt>
                <c:pt idx="42">
                  <c:v>16</c:v>
                </c:pt>
                <c:pt idx="43">
                  <c:v>8.6666666666666661</c:v>
                </c:pt>
                <c:pt idx="44">
                  <c:v>8</c:v>
                </c:pt>
                <c:pt idx="45">
                  <c:v>10.5</c:v>
                </c:pt>
              </c:numCache>
            </c:numRef>
          </c:val>
          <c:smooth val="0"/>
          <c:extLst>
            <c:ext xmlns:c16="http://schemas.microsoft.com/office/drawing/2014/chart" uri="{C3380CC4-5D6E-409C-BE32-E72D297353CC}">
              <c16:uniqueId val="{00000001-3E3C-41C3-8EDA-F399023B3478}"/>
            </c:ext>
          </c:extLst>
        </c:ser>
        <c:dLbls>
          <c:showLegendKey val="0"/>
          <c:showVal val="0"/>
          <c:showCatName val="0"/>
          <c:showSerName val="0"/>
          <c:showPercent val="0"/>
          <c:showBubbleSize val="0"/>
        </c:dLbls>
        <c:smooth val="0"/>
        <c:axId val="1525263743"/>
        <c:axId val="1525264223"/>
      </c:lineChart>
      <c:catAx>
        <c:axId val="152526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64223"/>
        <c:crosses val="autoZero"/>
        <c:auto val="1"/>
        <c:lblAlgn val="ctr"/>
        <c:lblOffset val="100"/>
        <c:noMultiLvlLbl val="0"/>
      </c:catAx>
      <c:valAx>
        <c:axId val="1525264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6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Dashboard.xlsx]Slicer!PivotTable7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Defect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Slicer!$E$118</c:f>
              <c:strCache>
                <c:ptCount val="1"/>
                <c:pt idx="0">
                  <c:v>Total</c:v>
                </c:pt>
              </c:strCache>
            </c:strRef>
          </c:tx>
          <c:spPr>
            <a:ln w="28575" cap="rnd">
              <a:solidFill>
                <a:schemeClr val="accent1"/>
              </a:solidFill>
              <a:round/>
            </a:ln>
            <a:effectLst/>
          </c:spPr>
          <c:marker>
            <c:symbol val="none"/>
          </c:marker>
          <c:cat>
            <c:multiLvlStrRef>
              <c:f>Slicer!$D$119:$D$170</c:f>
              <c:multiLvlStrCache>
                <c:ptCount val="46"/>
                <c:lvl>
                  <c:pt idx="0">
                    <c:v>April</c:v>
                  </c:pt>
                  <c:pt idx="1">
                    <c:v>August</c:v>
                  </c:pt>
                  <c:pt idx="2">
                    <c:v>December</c:v>
                  </c:pt>
                  <c:pt idx="3">
                    <c:v>January</c:v>
                  </c:pt>
                  <c:pt idx="4">
                    <c:v>July</c:v>
                  </c:pt>
                  <c:pt idx="5">
                    <c:v>June</c:v>
                  </c:pt>
                  <c:pt idx="6">
                    <c:v>March</c:v>
                  </c:pt>
                  <c:pt idx="7">
                    <c:v>May</c:v>
                  </c:pt>
                  <c:pt idx="8">
                    <c:v>October</c:v>
                  </c:pt>
                  <c:pt idx="9">
                    <c:v>September</c:v>
                  </c:pt>
                  <c:pt idx="10">
                    <c:v>April</c:v>
                  </c:pt>
                  <c:pt idx="11">
                    <c:v>August</c:v>
                  </c:pt>
                  <c:pt idx="12">
                    <c:v>December</c:v>
                  </c:pt>
                  <c:pt idx="13">
                    <c:v>February</c:v>
                  </c:pt>
                  <c:pt idx="14">
                    <c:v>July</c:v>
                  </c:pt>
                  <c:pt idx="15">
                    <c:v>June</c:v>
                  </c:pt>
                  <c:pt idx="16">
                    <c:v>March</c:v>
                  </c:pt>
                  <c:pt idx="17">
                    <c:v>May</c:v>
                  </c:pt>
                  <c:pt idx="18">
                    <c:v>November</c:v>
                  </c:pt>
                  <c:pt idx="19">
                    <c:v>October</c:v>
                  </c:pt>
                  <c:pt idx="20">
                    <c:v>September</c:v>
                  </c:pt>
                  <c:pt idx="21">
                    <c:v>April</c:v>
                  </c:pt>
                  <c:pt idx="22">
                    <c:v>December</c:v>
                  </c:pt>
                  <c:pt idx="23">
                    <c:v>January</c:v>
                  </c:pt>
                  <c:pt idx="24">
                    <c:v>July</c:v>
                  </c:pt>
                  <c:pt idx="25">
                    <c:v>June</c:v>
                  </c:pt>
                  <c:pt idx="26">
                    <c:v>May</c:v>
                  </c:pt>
                  <c:pt idx="27">
                    <c:v>November</c:v>
                  </c:pt>
                  <c:pt idx="28">
                    <c:v>October</c:v>
                  </c:pt>
                  <c:pt idx="29">
                    <c:v>September</c:v>
                  </c:pt>
                  <c:pt idx="30">
                    <c:v>April</c:v>
                  </c:pt>
                  <c:pt idx="31">
                    <c:v>August</c:v>
                  </c:pt>
                  <c:pt idx="32">
                    <c:v>December</c:v>
                  </c:pt>
                  <c:pt idx="33">
                    <c:v>February</c:v>
                  </c:pt>
                  <c:pt idx="34">
                    <c:v>January</c:v>
                  </c:pt>
                  <c:pt idx="35">
                    <c:v>July</c:v>
                  </c:pt>
                  <c:pt idx="36">
                    <c:v>June</c:v>
                  </c:pt>
                  <c:pt idx="37">
                    <c:v>March</c:v>
                  </c:pt>
                  <c:pt idx="38">
                    <c:v>November</c:v>
                  </c:pt>
                  <c:pt idx="39">
                    <c:v>August</c:v>
                  </c:pt>
                  <c:pt idx="40">
                    <c:v>December</c:v>
                  </c:pt>
                  <c:pt idx="41">
                    <c:v>January</c:v>
                  </c:pt>
                  <c:pt idx="42">
                    <c:v>June</c:v>
                  </c:pt>
                  <c:pt idx="43">
                    <c:v>March</c:v>
                  </c:pt>
                  <c:pt idx="44">
                    <c:v>November</c:v>
                  </c:pt>
                  <c:pt idx="45">
                    <c:v>October</c:v>
                  </c:pt>
                </c:lvl>
                <c:lvl>
                  <c:pt idx="0">
                    <c:v>Alpha Inc</c:v>
                  </c:pt>
                  <c:pt idx="10">
                    <c:v>Beta Supplies</c:v>
                  </c:pt>
                  <c:pt idx="21">
                    <c:v>Delta Logistics</c:v>
                  </c:pt>
                  <c:pt idx="30">
                    <c:v>Epsilon Group</c:v>
                  </c:pt>
                  <c:pt idx="39">
                    <c:v>Gamma Co</c:v>
                  </c:pt>
                </c:lvl>
              </c:multiLvlStrCache>
            </c:multiLvlStrRef>
          </c:cat>
          <c:val>
            <c:numRef>
              <c:f>Slicer!$E$119:$E$170</c:f>
              <c:numCache>
                <c:formatCode>0%</c:formatCode>
                <c:ptCount val="46"/>
                <c:pt idx="0">
                  <c:v>1.1053315994798439E-2</c:v>
                </c:pt>
                <c:pt idx="1">
                  <c:v>2.0044543429844099E-2</c:v>
                </c:pt>
                <c:pt idx="2">
                  <c:v>1.8292682926829267E-2</c:v>
                </c:pt>
                <c:pt idx="3">
                  <c:v>2.3209890960410567E-2</c:v>
                </c:pt>
                <c:pt idx="4">
                  <c:v>1.6489988221436984E-2</c:v>
                </c:pt>
                <c:pt idx="5">
                  <c:v>0</c:v>
                </c:pt>
                <c:pt idx="6">
                  <c:v>1.3694818121078117E-2</c:v>
                </c:pt>
                <c:pt idx="7">
                  <c:v>9.433962264150943E-3</c:v>
                </c:pt>
                <c:pt idx="8">
                  <c:v>2.9808684607446217E-2</c:v>
                </c:pt>
                <c:pt idx="9">
                  <c:v>1.4008620689655173E-2</c:v>
                </c:pt>
                <c:pt idx="10">
                  <c:v>0.12271540469973891</c:v>
                </c:pt>
                <c:pt idx="11">
                  <c:v>0.1048016956299798</c:v>
                </c:pt>
                <c:pt idx="12">
                  <c:v>5.1437699680511186E-2</c:v>
                </c:pt>
                <c:pt idx="13">
                  <c:v>0.10141869963785063</c:v>
                </c:pt>
                <c:pt idx="14">
                  <c:v>9.3572816084096122E-2</c:v>
                </c:pt>
                <c:pt idx="15">
                  <c:v>0.10880829015544041</c:v>
                </c:pt>
                <c:pt idx="16">
                  <c:v>9.1795754446356861E-2</c:v>
                </c:pt>
                <c:pt idx="17">
                  <c:v>0.10344495702576162</c:v>
                </c:pt>
                <c:pt idx="18">
                  <c:v>9.4391244870041038E-2</c:v>
                </c:pt>
                <c:pt idx="19">
                  <c:v>0.10893032384690873</c:v>
                </c:pt>
                <c:pt idx="20">
                  <c:v>9.7359735973597358E-2</c:v>
                </c:pt>
                <c:pt idx="21">
                  <c:v>7.3913043478260873E-2</c:v>
                </c:pt>
                <c:pt idx="22">
                  <c:v>0.16473000683527</c:v>
                </c:pt>
                <c:pt idx="23">
                  <c:v>0.16421895861148197</c:v>
                </c:pt>
                <c:pt idx="24">
                  <c:v>0.13141993957703926</c:v>
                </c:pt>
                <c:pt idx="25">
                  <c:v>6.25E-2</c:v>
                </c:pt>
                <c:pt idx="26">
                  <c:v>0</c:v>
                </c:pt>
                <c:pt idx="27">
                  <c:v>0.10045625065641862</c:v>
                </c:pt>
                <c:pt idx="28">
                  <c:v>7.3601973684210523E-2</c:v>
                </c:pt>
                <c:pt idx="29">
                  <c:v>9.850334789065962E-2</c:v>
                </c:pt>
                <c:pt idx="30">
                  <c:v>2.7292576419213975E-2</c:v>
                </c:pt>
                <c:pt idx="31">
                  <c:v>3.5816161540440039E-2</c:v>
                </c:pt>
                <c:pt idx="32">
                  <c:v>2.8669902958796623E-2</c:v>
                </c:pt>
                <c:pt idx="33">
                  <c:v>3.5028248587570622E-2</c:v>
                </c:pt>
                <c:pt idx="34">
                  <c:v>3.103456473161223E-2</c:v>
                </c:pt>
                <c:pt idx="35">
                  <c:v>2.9464285714285714E-2</c:v>
                </c:pt>
                <c:pt idx="36">
                  <c:v>2.7835051546391754E-2</c:v>
                </c:pt>
                <c:pt idx="37">
                  <c:v>2.8801071667782986E-2</c:v>
                </c:pt>
                <c:pt idx="38">
                  <c:v>2.7619117872362157E-2</c:v>
                </c:pt>
                <c:pt idx="39">
                  <c:v>0</c:v>
                </c:pt>
                <c:pt idx="40">
                  <c:v>5.8873720136518773E-2</c:v>
                </c:pt>
                <c:pt idx="41">
                  <c:v>5.0039242369632808E-2</c:v>
                </c:pt>
                <c:pt idx="42">
                  <c:v>4.7759000734753858E-2</c:v>
                </c:pt>
                <c:pt idx="43">
                  <c:v>4.5977842793191427E-2</c:v>
                </c:pt>
                <c:pt idx="44">
                  <c:v>1.7099711303575394E-2</c:v>
                </c:pt>
                <c:pt idx="45">
                  <c:v>5.6742751139250716E-2</c:v>
                </c:pt>
              </c:numCache>
            </c:numRef>
          </c:val>
          <c:smooth val="0"/>
          <c:extLst>
            <c:ext xmlns:c16="http://schemas.microsoft.com/office/drawing/2014/chart" uri="{C3380CC4-5D6E-409C-BE32-E72D297353CC}">
              <c16:uniqueId val="{00000001-E4DE-4809-9337-333439308EA2}"/>
            </c:ext>
          </c:extLst>
        </c:ser>
        <c:dLbls>
          <c:showLegendKey val="0"/>
          <c:showVal val="0"/>
          <c:showCatName val="0"/>
          <c:showSerName val="0"/>
          <c:showPercent val="0"/>
          <c:showBubbleSize val="0"/>
        </c:dLbls>
        <c:smooth val="0"/>
        <c:axId val="1525357343"/>
        <c:axId val="1525364543"/>
      </c:lineChart>
      <c:catAx>
        <c:axId val="15253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364543"/>
        <c:crosses val="autoZero"/>
        <c:auto val="1"/>
        <c:lblAlgn val="ctr"/>
        <c:lblOffset val="100"/>
        <c:noMultiLvlLbl val="0"/>
      </c:catAx>
      <c:valAx>
        <c:axId val="15253645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35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Delivery</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Slicer!$W$38:$W$39</c:f>
              <c:strCache>
                <c:ptCount val="1"/>
                <c:pt idx="0">
                  <c:v>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Slicer!$V$40:$V$45</c:f>
              <c:strCache>
                <c:ptCount val="5"/>
                <c:pt idx="0">
                  <c:v>Gamma Co</c:v>
                </c:pt>
                <c:pt idx="1">
                  <c:v>Epsilon Group</c:v>
                </c:pt>
                <c:pt idx="2">
                  <c:v>Beta Supplies</c:v>
                </c:pt>
                <c:pt idx="3">
                  <c:v>Alpha Inc</c:v>
                </c:pt>
                <c:pt idx="4">
                  <c:v>Delta Logistics</c:v>
                </c:pt>
              </c:strCache>
            </c:strRef>
          </c:cat>
          <c:val>
            <c:numRef>
              <c:f>Slicer!$W$40:$W$45</c:f>
              <c:numCache>
                <c:formatCode>0.00</c:formatCode>
                <c:ptCount val="5"/>
                <c:pt idx="0">
                  <c:v>10.153846153846153</c:v>
                </c:pt>
                <c:pt idx="1">
                  <c:v>10.214285714285714</c:v>
                </c:pt>
                <c:pt idx="2">
                  <c:v>10.3125</c:v>
                </c:pt>
                <c:pt idx="3">
                  <c:v>12.375</c:v>
                </c:pt>
                <c:pt idx="4">
                  <c:v>12.882352941176471</c:v>
                </c:pt>
              </c:numCache>
            </c:numRef>
          </c:val>
          <c:extLst>
            <c:ext xmlns:c16="http://schemas.microsoft.com/office/drawing/2014/chart" uri="{C3380CC4-5D6E-409C-BE32-E72D297353CC}">
              <c16:uniqueId val="{00000002-1E73-47BA-9131-8BEABF5D53F3}"/>
            </c:ext>
          </c:extLst>
        </c:ser>
        <c:dLbls>
          <c:dLblPos val="outEnd"/>
          <c:showLegendKey val="0"/>
          <c:showVal val="1"/>
          <c:showCatName val="0"/>
          <c:showSerName val="0"/>
          <c:showPercent val="0"/>
          <c:showBubbleSize val="0"/>
        </c:dLbls>
        <c:gapWidth val="182"/>
        <c:axId val="474242400"/>
        <c:axId val="474241440"/>
      </c:barChart>
      <c:catAx>
        <c:axId val="474242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41440"/>
        <c:crosses val="autoZero"/>
        <c:auto val="1"/>
        <c:lblAlgn val="ctr"/>
        <c:lblOffset val="100"/>
        <c:noMultiLvlLbl val="0"/>
      </c:catAx>
      <c:valAx>
        <c:axId val="474241440"/>
        <c:scaling>
          <c:orientation val="minMax"/>
        </c:scaling>
        <c:delete val="1"/>
        <c:axPos val="b"/>
        <c:numFmt formatCode="0.00" sourceLinked="1"/>
        <c:majorTickMark val="none"/>
        <c:minorTickMark val="none"/>
        <c:tickLblPos val="nextTo"/>
        <c:crossAx val="47424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Supplier</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Slicer!$W$54</c:f>
              <c:strCache>
                <c:ptCount val="1"/>
                <c:pt idx="0">
                  <c:v>Average of Lead  Days</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Slicer!$V$55:$V$60</c:f>
              <c:strCache>
                <c:ptCount val="5"/>
                <c:pt idx="0">
                  <c:v>Alpha Inc</c:v>
                </c:pt>
                <c:pt idx="1">
                  <c:v>Gamma Co</c:v>
                </c:pt>
                <c:pt idx="2">
                  <c:v>Beta Supplies</c:v>
                </c:pt>
                <c:pt idx="3">
                  <c:v>Delta Logistics</c:v>
                </c:pt>
                <c:pt idx="4">
                  <c:v>Epsilon Group</c:v>
                </c:pt>
              </c:strCache>
            </c:strRef>
          </c:cat>
          <c:val>
            <c:numRef>
              <c:f>Slicer!$W$55:$W$60</c:f>
              <c:numCache>
                <c:formatCode>0.00</c:formatCode>
                <c:ptCount val="5"/>
                <c:pt idx="0">
                  <c:v>12.375</c:v>
                </c:pt>
                <c:pt idx="1">
                  <c:v>10.153846153846153</c:v>
                </c:pt>
                <c:pt idx="2">
                  <c:v>10.3125</c:v>
                </c:pt>
                <c:pt idx="3">
                  <c:v>12.882352941176471</c:v>
                </c:pt>
                <c:pt idx="4">
                  <c:v>10.214285714285714</c:v>
                </c:pt>
              </c:numCache>
            </c:numRef>
          </c:val>
          <c:extLst>
            <c:ext xmlns:c16="http://schemas.microsoft.com/office/drawing/2014/chart" uri="{C3380CC4-5D6E-409C-BE32-E72D297353CC}">
              <c16:uniqueId val="{00000004-651F-45FF-9D47-32CC7D488C96}"/>
            </c:ext>
          </c:extLst>
        </c:ser>
        <c:ser>
          <c:idx val="1"/>
          <c:order val="1"/>
          <c:tx>
            <c:strRef>
              <c:f>Slicer!$X$54</c:f>
              <c:strCache>
                <c:ptCount val="1"/>
                <c:pt idx="0">
                  <c:v>Average of Defect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Slicer!$V$55:$V$60</c:f>
              <c:strCache>
                <c:ptCount val="5"/>
                <c:pt idx="0">
                  <c:v>Alpha Inc</c:v>
                </c:pt>
                <c:pt idx="1">
                  <c:v>Gamma Co</c:v>
                </c:pt>
                <c:pt idx="2">
                  <c:v>Beta Supplies</c:v>
                </c:pt>
                <c:pt idx="3">
                  <c:v>Delta Logistics</c:v>
                </c:pt>
                <c:pt idx="4">
                  <c:v>Epsilon Group</c:v>
                </c:pt>
              </c:strCache>
            </c:strRef>
          </c:cat>
          <c:val>
            <c:numRef>
              <c:f>Slicer!$X$55:$X$60</c:f>
              <c:numCache>
                <c:formatCode>0%</c:formatCode>
                <c:ptCount val="5"/>
                <c:pt idx="0">
                  <c:v>1.6058249830288265E-2</c:v>
                </c:pt>
                <c:pt idx="1">
                  <c:v>3.9186874629180017E-2</c:v>
                </c:pt>
                <c:pt idx="2">
                  <c:v>9.5834530631780129E-2</c:v>
                </c:pt>
                <c:pt idx="3">
                  <c:v>9.6588690695602275E-2</c:v>
                </c:pt>
                <c:pt idx="4">
                  <c:v>3.0240759364318841E-2</c:v>
                </c:pt>
              </c:numCache>
            </c:numRef>
          </c:val>
          <c:extLst>
            <c:ext xmlns:c16="http://schemas.microsoft.com/office/drawing/2014/chart" uri="{C3380CC4-5D6E-409C-BE32-E72D297353CC}">
              <c16:uniqueId val="{00000005-651F-45FF-9D47-32CC7D488C96}"/>
            </c:ext>
          </c:extLst>
        </c:ser>
        <c:ser>
          <c:idx val="2"/>
          <c:order val="2"/>
          <c:tx>
            <c:strRef>
              <c:f>Slicer!$Y$54</c:f>
              <c:strCache>
                <c:ptCount val="1"/>
                <c:pt idx="0">
                  <c:v>Average of Unit_Price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Slicer!$V$55:$V$60</c:f>
              <c:strCache>
                <c:ptCount val="5"/>
                <c:pt idx="0">
                  <c:v>Alpha Inc</c:v>
                </c:pt>
                <c:pt idx="1">
                  <c:v>Gamma Co</c:v>
                </c:pt>
                <c:pt idx="2">
                  <c:v>Beta Supplies</c:v>
                </c:pt>
                <c:pt idx="3">
                  <c:v>Delta Logistics</c:v>
                </c:pt>
                <c:pt idx="4">
                  <c:v>Epsilon Group</c:v>
                </c:pt>
              </c:strCache>
            </c:strRef>
          </c:cat>
          <c:val>
            <c:numRef>
              <c:f>Slicer!$Y$55:$Y$60</c:f>
              <c:numCache>
                <c:formatCode>_("₹"* #,##0.00_);_("₹"* \(#,##0.00\);_("₹"* "-"??_);_(@_)</c:formatCode>
                <c:ptCount val="5"/>
                <c:pt idx="0">
                  <c:v>58.664375</c:v>
                </c:pt>
                <c:pt idx="1">
                  <c:v>60.754615384615377</c:v>
                </c:pt>
                <c:pt idx="2">
                  <c:v>61.038125000000001</c:v>
                </c:pt>
                <c:pt idx="3">
                  <c:v>64.56941176470589</c:v>
                </c:pt>
                <c:pt idx="4">
                  <c:v>65.332142857142856</c:v>
                </c:pt>
              </c:numCache>
            </c:numRef>
          </c:val>
          <c:extLst>
            <c:ext xmlns:c16="http://schemas.microsoft.com/office/drawing/2014/chart" uri="{C3380CC4-5D6E-409C-BE32-E72D297353CC}">
              <c16:uniqueId val="{00000006-651F-45FF-9D47-32CC7D488C96}"/>
            </c:ext>
          </c:extLst>
        </c:ser>
        <c:dLbls>
          <c:dLblPos val="outEnd"/>
          <c:showLegendKey val="0"/>
          <c:showVal val="1"/>
          <c:showCatName val="0"/>
          <c:showSerName val="0"/>
          <c:showPercent val="0"/>
          <c:showBubbleSize val="0"/>
        </c:dLbls>
        <c:gapWidth val="219"/>
        <c:overlap val="-27"/>
        <c:axId val="1441408463"/>
        <c:axId val="1441392143"/>
      </c:barChart>
      <c:catAx>
        <c:axId val="144140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392143"/>
        <c:crosses val="autoZero"/>
        <c:auto val="1"/>
        <c:lblAlgn val="ctr"/>
        <c:lblOffset val="100"/>
        <c:noMultiLvlLbl val="0"/>
      </c:catAx>
      <c:valAx>
        <c:axId val="1441392143"/>
        <c:scaling>
          <c:orientation val="minMax"/>
        </c:scaling>
        <c:delete val="1"/>
        <c:axPos val="l"/>
        <c:numFmt formatCode="0.00" sourceLinked="1"/>
        <c:majorTickMark val="none"/>
        <c:minorTickMark val="none"/>
        <c:tickLblPos val="nextTo"/>
        <c:crossAx val="144140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Procurement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Slicer!$V$77:$V$79</c:f>
              <c:strCache>
                <c:ptCount val="1"/>
                <c:pt idx="0">
                  <c:v>Alpha Inc - 2023</c:v>
                </c:pt>
              </c:strCache>
            </c:strRef>
          </c:tx>
          <c:spPr>
            <a:ln w="28575" cap="rnd">
              <a:solidFill>
                <a:schemeClr val="accent6">
                  <a:tint val="54000"/>
                </a:schemeClr>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Slicer!$V$80:$V$92</c:f>
              <c:numCache>
                <c:formatCode>General</c:formatCode>
                <c:ptCount val="12"/>
                <c:pt idx="0">
                  <c:v>146075.74</c:v>
                </c:pt>
                <c:pt idx="1">
                  <c:v>33333.759999999995</c:v>
                </c:pt>
                <c:pt idx="2">
                  <c:v>30579.440000000002</c:v>
                </c:pt>
                <c:pt idx="4">
                  <c:v>191333.97</c:v>
                </c:pt>
                <c:pt idx="5">
                  <c:v>173314.86</c:v>
                </c:pt>
                <c:pt idx="6">
                  <c:v>44245.560000000005</c:v>
                </c:pt>
                <c:pt idx="7">
                  <c:v>91690.99</c:v>
                </c:pt>
                <c:pt idx="8">
                  <c:v>136501.67000000001</c:v>
                </c:pt>
                <c:pt idx="10">
                  <c:v>106976.07</c:v>
                </c:pt>
                <c:pt idx="11">
                  <c:v>65498.239999999998</c:v>
                </c:pt>
              </c:numCache>
            </c:numRef>
          </c:val>
          <c:smooth val="0"/>
          <c:extLst>
            <c:ext xmlns:c16="http://schemas.microsoft.com/office/drawing/2014/chart" uri="{C3380CC4-5D6E-409C-BE32-E72D297353CC}">
              <c16:uniqueId val="{00000001-FD29-4EBC-B54C-B7CC129A43CE}"/>
            </c:ext>
          </c:extLst>
        </c:ser>
        <c:ser>
          <c:idx val="1"/>
          <c:order val="1"/>
          <c:tx>
            <c:strRef>
              <c:f>Slicer!$W$77:$W$79</c:f>
              <c:strCache>
                <c:ptCount val="1"/>
                <c:pt idx="0">
                  <c:v>Beta Supplies - 2023</c:v>
                </c:pt>
              </c:strCache>
            </c:strRef>
          </c:tx>
          <c:spPr>
            <a:ln w="28575" cap="rnd">
              <a:solidFill>
                <a:schemeClr val="accent6">
                  <a:tint val="77000"/>
                </a:schemeClr>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Slicer!$W$80:$W$92</c:f>
              <c:numCache>
                <c:formatCode>General</c:formatCode>
                <c:ptCount val="12"/>
                <c:pt idx="0">
                  <c:v>37917</c:v>
                </c:pt>
                <c:pt idx="1">
                  <c:v>42995.6</c:v>
                </c:pt>
                <c:pt idx="2">
                  <c:v>80260.5</c:v>
                </c:pt>
                <c:pt idx="3">
                  <c:v>235870.31</c:v>
                </c:pt>
                <c:pt idx="5">
                  <c:v>154004.6</c:v>
                </c:pt>
                <c:pt idx="6">
                  <c:v>16956.98</c:v>
                </c:pt>
                <c:pt idx="7">
                  <c:v>88962.72</c:v>
                </c:pt>
                <c:pt idx="8">
                  <c:v>334694.83</c:v>
                </c:pt>
                <c:pt idx="9">
                  <c:v>14159.470000000001</c:v>
                </c:pt>
                <c:pt idx="10">
                  <c:v>93299.64</c:v>
                </c:pt>
                <c:pt idx="11">
                  <c:v>106001.51999999999</c:v>
                </c:pt>
              </c:numCache>
            </c:numRef>
          </c:val>
          <c:smooth val="0"/>
          <c:extLst>
            <c:ext xmlns:c16="http://schemas.microsoft.com/office/drawing/2014/chart" uri="{C3380CC4-5D6E-409C-BE32-E72D297353CC}">
              <c16:uniqueId val="{00000017-892D-4DD6-89D9-A42132B64CCF}"/>
            </c:ext>
          </c:extLst>
        </c:ser>
        <c:ser>
          <c:idx val="2"/>
          <c:order val="2"/>
          <c:tx>
            <c:strRef>
              <c:f>Slicer!$X$77:$X$79</c:f>
              <c:strCache>
                <c:ptCount val="1"/>
                <c:pt idx="0">
                  <c:v>Delta Logistics - 2023</c:v>
                </c:pt>
              </c:strCache>
            </c:strRef>
          </c:tx>
          <c:spPr>
            <a:ln w="28575" cap="rnd">
              <a:solidFill>
                <a:schemeClr val="accent6"/>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Slicer!$X$80:$X$92</c:f>
              <c:numCache>
                <c:formatCode>General</c:formatCode>
                <c:ptCount val="12"/>
                <c:pt idx="0">
                  <c:v>185645.96000000002</c:v>
                </c:pt>
                <c:pt idx="2">
                  <c:v>16062.289999999999</c:v>
                </c:pt>
                <c:pt idx="4">
                  <c:v>72705.429999999993</c:v>
                </c:pt>
                <c:pt idx="5">
                  <c:v>53913.279999999999</c:v>
                </c:pt>
                <c:pt idx="6">
                  <c:v>25221.06</c:v>
                </c:pt>
                <c:pt idx="8">
                  <c:v>37137.839999999997</c:v>
                </c:pt>
                <c:pt idx="9">
                  <c:v>185645.74</c:v>
                </c:pt>
                <c:pt idx="10">
                  <c:v>133846.81</c:v>
                </c:pt>
                <c:pt idx="11">
                  <c:v>254371.24</c:v>
                </c:pt>
              </c:numCache>
            </c:numRef>
          </c:val>
          <c:smooth val="0"/>
          <c:extLst>
            <c:ext xmlns:c16="http://schemas.microsoft.com/office/drawing/2014/chart" uri="{C3380CC4-5D6E-409C-BE32-E72D297353CC}">
              <c16:uniqueId val="{00000018-892D-4DD6-89D9-A42132B64CCF}"/>
            </c:ext>
          </c:extLst>
        </c:ser>
        <c:ser>
          <c:idx val="3"/>
          <c:order val="3"/>
          <c:tx>
            <c:strRef>
              <c:f>Slicer!$Y$77:$Y$79</c:f>
              <c:strCache>
                <c:ptCount val="1"/>
                <c:pt idx="0">
                  <c:v>Epsilon Group - 2023</c:v>
                </c:pt>
              </c:strCache>
            </c:strRef>
          </c:tx>
          <c:spPr>
            <a:ln w="28575" cap="rnd">
              <a:solidFill>
                <a:schemeClr val="accent6">
                  <a:shade val="76000"/>
                </a:schemeClr>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Slicer!$Y$80:$Y$92</c:f>
              <c:numCache>
                <c:formatCode>General</c:formatCode>
                <c:ptCount val="12"/>
                <c:pt idx="0">
                  <c:v>19290.96</c:v>
                </c:pt>
                <c:pt idx="1">
                  <c:v>164908.47</c:v>
                </c:pt>
                <c:pt idx="2">
                  <c:v>291742.28999999998</c:v>
                </c:pt>
                <c:pt idx="3">
                  <c:v>78127.8</c:v>
                </c:pt>
                <c:pt idx="4">
                  <c:v>246635.77</c:v>
                </c:pt>
                <c:pt idx="5">
                  <c:v>47230.400000000001</c:v>
                </c:pt>
                <c:pt idx="6">
                  <c:v>113393</c:v>
                </c:pt>
                <c:pt idx="7">
                  <c:v>85071.14</c:v>
                </c:pt>
                <c:pt idx="9">
                  <c:v>170662.09</c:v>
                </c:pt>
              </c:numCache>
            </c:numRef>
          </c:val>
          <c:smooth val="0"/>
          <c:extLst>
            <c:ext xmlns:c16="http://schemas.microsoft.com/office/drawing/2014/chart" uri="{C3380CC4-5D6E-409C-BE32-E72D297353CC}">
              <c16:uniqueId val="{00000019-892D-4DD6-89D9-A42132B64CCF}"/>
            </c:ext>
          </c:extLst>
        </c:ser>
        <c:ser>
          <c:idx val="4"/>
          <c:order val="4"/>
          <c:tx>
            <c:strRef>
              <c:f>Slicer!$Z$77:$Z$79</c:f>
              <c:strCache>
                <c:ptCount val="1"/>
                <c:pt idx="0">
                  <c:v>Gamma Co - 2023</c:v>
                </c:pt>
              </c:strCache>
            </c:strRef>
          </c:tx>
          <c:spPr>
            <a:ln w="28575" cap="rnd">
              <a:solidFill>
                <a:schemeClr val="accent6">
                  <a:shade val="53000"/>
                </a:schemeClr>
              </a:solidFill>
              <a:round/>
            </a:ln>
            <a:effectLst/>
          </c:spPr>
          <c:marker>
            <c:symbol val="none"/>
          </c:marker>
          <c:cat>
            <c:strRef>
              <c:f>Slicer!$U$80:$U$92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Slicer!$Z$80:$Z$92</c:f>
              <c:numCache>
                <c:formatCode>General</c:formatCode>
                <c:ptCount val="12"/>
                <c:pt idx="1">
                  <c:v>22979.32</c:v>
                </c:pt>
                <c:pt idx="2">
                  <c:v>40246.480000000003</c:v>
                </c:pt>
                <c:pt idx="4">
                  <c:v>320770.05000000005</c:v>
                </c:pt>
                <c:pt idx="6">
                  <c:v>38883.769999999997</c:v>
                </c:pt>
                <c:pt idx="7">
                  <c:v>159610.28</c:v>
                </c:pt>
                <c:pt idx="9">
                  <c:v>308348.07999999996</c:v>
                </c:pt>
                <c:pt idx="10">
                  <c:v>99656.23000000001</c:v>
                </c:pt>
              </c:numCache>
            </c:numRef>
          </c:val>
          <c:smooth val="0"/>
          <c:extLst>
            <c:ext xmlns:c16="http://schemas.microsoft.com/office/drawing/2014/chart" uri="{C3380CC4-5D6E-409C-BE32-E72D297353CC}">
              <c16:uniqueId val="{0000001A-892D-4DD6-89D9-A42132B64CCF}"/>
            </c:ext>
          </c:extLst>
        </c:ser>
        <c:dLbls>
          <c:showLegendKey val="0"/>
          <c:showVal val="0"/>
          <c:showCatName val="0"/>
          <c:showSerName val="0"/>
          <c:showPercent val="0"/>
          <c:showBubbleSize val="0"/>
        </c:dLbls>
        <c:smooth val="0"/>
        <c:axId val="1441406543"/>
        <c:axId val="1441396463"/>
      </c:lineChart>
      <c:catAx>
        <c:axId val="144140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396463"/>
        <c:crosses val="autoZero"/>
        <c:auto val="1"/>
        <c:lblAlgn val="ctr"/>
        <c:lblOffset val="100"/>
        <c:noMultiLvlLbl val="0"/>
      </c:catAx>
      <c:valAx>
        <c:axId val="1441396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40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Delivery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Slicer!$V$98:$V$99</c:f>
              <c:strCache>
                <c:ptCount val="1"/>
                <c:pt idx="0">
                  <c:v>2023</c:v>
                </c:pt>
              </c:strCache>
            </c:strRef>
          </c:tx>
          <c:spPr>
            <a:ln w="28575" cap="rnd">
              <a:solidFill>
                <a:schemeClr val="accent6"/>
              </a:solidFill>
              <a:round/>
            </a:ln>
            <a:effectLst/>
          </c:spPr>
          <c:marker>
            <c:symbol val="none"/>
          </c:marker>
          <c:cat>
            <c:multiLvlStrRef>
              <c:f>Slicer!$U$100:$U$151</c:f>
              <c:multiLvlStrCache>
                <c:ptCount val="46"/>
                <c:lvl>
                  <c:pt idx="0">
                    <c:v>April</c:v>
                  </c:pt>
                  <c:pt idx="1">
                    <c:v>August</c:v>
                  </c:pt>
                  <c:pt idx="2">
                    <c:v>December</c:v>
                  </c:pt>
                  <c:pt idx="3">
                    <c:v>January</c:v>
                  </c:pt>
                  <c:pt idx="4">
                    <c:v>July</c:v>
                  </c:pt>
                  <c:pt idx="5">
                    <c:v>June</c:v>
                  </c:pt>
                  <c:pt idx="6">
                    <c:v>March</c:v>
                  </c:pt>
                  <c:pt idx="7">
                    <c:v>May</c:v>
                  </c:pt>
                  <c:pt idx="8">
                    <c:v>October</c:v>
                  </c:pt>
                  <c:pt idx="9">
                    <c:v>September</c:v>
                  </c:pt>
                  <c:pt idx="10">
                    <c:v>April</c:v>
                  </c:pt>
                  <c:pt idx="11">
                    <c:v>August</c:v>
                  </c:pt>
                  <c:pt idx="12">
                    <c:v>December</c:v>
                  </c:pt>
                  <c:pt idx="13">
                    <c:v>February</c:v>
                  </c:pt>
                  <c:pt idx="14">
                    <c:v>July</c:v>
                  </c:pt>
                  <c:pt idx="15">
                    <c:v>June</c:v>
                  </c:pt>
                  <c:pt idx="16">
                    <c:v>March</c:v>
                  </c:pt>
                  <c:pt idx="17">
                    <c:v>May</c:v>
                  </c:pt>
                  <c:pt idx="18">
                    <c:v>November</c:v>
                  </c:pt>
                  <c:pt idx="19">
                    <c:v>October</c:v>
                  </c:pt>
                  <c:pt idx="20">
                    <c:v>September</c:v>
                  </c:pt>
                  <c:pt idx="21">
                    <c:v>April</c:v>
                  </c:pt>
                  <c:pt idx="22">
                    <c:v>December</c:v>
                  </c:pt>
                  <c:pt idx="23">
                    <c:v>January</c:v>
                  </c:pt>
                  <c:pt idx="24">
                    <c:v>July</c:v>
                  </c:pt>
                  <c:pt idx="25">
                    <c:v>June</c:v>
                  </c:pt>
                  <c:pt idx="26">
                    <c:v>May</c:v>
                  </c:pt>
                  <c:pt idx="27">
                    <c:v>November</c:v>
                  </c:pt>
                  <c:pt idx="28">
                    <c:v>October</c:v>
                  </c:pt>
                  <c:pt idx="29">
                    <c:v>September</c:v>
                  </c:pt>
                  <c:pt idx="30">
                    <c:v>April</c:v>
                  </c:pt>
                  <c:pt idx="31">
                    <c:v>August</c:v>
                  </c:pt>
                  <c:pt idx="32">
                    <c:v>December</c:v>
                  </c:pt>
                  <c:pt idx="33">
                    <c:v>February</c:v>
                  </c:pt>
                  <c:pt idx="34">
                    <c:v>January</c:v>
                  </c:pt>
                  <c:pt idx="35">
                    <c:v>July</c:v>
                  </c:pt>
                  <c:pt idx="36">
                    <c:v>June</c:v>
                  </c:pt>
                  <c:pt idx="37">
                    <c:v>March</c:v>
                  </c:pt>
                  <c:pt idx="38">
                    <c:v>November</c:v>
                  </c:pt>
                  <c:pt idx="39">
                    <c:v>August</c:v>
                  </c:pt>
                  <c:pt idx="40">
                    <c:v>December</c:v>
                  </c:pt>
                  <c:pt idx="41">
                    <c:v>January</c:v>
                  </c:pt>
                  <c:pt idx="42">
                    <c:v>June</c:v>
                  </c:pt>
                  <c:pt idx="43">
                    <c:v>March</c:v>
                  </c:pt>
                  <c:pt idx="44">
                    <c:v>November</c:v>
                  </c:pt>
                  <c:pt idx="45">
                    <c:v>October</c:v>
                  </c:pt>
                </c:lvl>
                <c:lvl>
                  <c:pt idx="0">
                    <c:v>Alpha Inc</c:v>
                  </c:pt>
                  <c:pt idx="10">
                    <c:v>Beta Supplies</c:v>
                  </c:pt>
                  <c:pt idx="21">
                    <c:v>Delta Logistics</c:v>
                  </c:pt>
                  <c:pt idx="30">
                    <c:v>Epsilon Group</c:v>
                  </c:pt>
                  <c:pt idx="39">
                    <c:v>Gamma Co</c:v>
                  </c:pt>
                </c:lvl>
              </c:multiLvlStrCache>
            </c:multiLvlStrRef>
          </c:cat>
          <c:val>
            <c:numRef>
              <c:f>Slicer!$V$100:$V$151</c:f>
              <c:numCache>
                <c:formatCode>General</c:formatCode>
                <c:ptCount val="46"/>
                <c:pt idx="0">
                  <c:v>14</c:v>
                </c:pt>
                <c:pt idx="1">
                  <c:v>9</c:v>
                </c:pt>
                <c:pt idx="2">
                  <c:v>18</c:v>
                </c:pt>
                <c:pt idx="3">
                  <c:v>12</c:v>
                </c:pt>
                <c:pt idx="4">
                  <c:v>4</c:v>
                </c:pt>
                <c:pt idx="5">
                  <c:v>16</c:v>
                </c:pt>
                <c:pt idx="6">
                  <c:v>13</c:v>
                </c:pt>
                <c:pt idx="7">
                  <c:v>12.5</c:v>
                </c:pt>
                <c:pt idx="8">
                  <c:v>16.5</c:v>
                </c:pt>
                <c:pt idx="9">
                  <c:v>2</c:v>
                </c:pt>
                <c:pt idx="10">
                  <c:v>14</c:v>
                </c:pt>
                <c:pt idx="11">
                  <c:v>13</c:v>
                </c:pt>
                <c:pt idx="12">
                  <c:v>9</c:v>
                </c:pt>
                <c:pt idx="13">
                  <c:v>15</c:v>
                </c:pt>
                <c:pt idx="14">
                  <c:v>6.5</c:v>
                </c:pt>
                <c:pt idx="15">
                  <c:v>3</c:v>
                </c:pt>
                <c:pt idx="16">
                  <c:v>20</c:v>
                </c:pt>
                <c:pt idx="17">
                  <c:v>8</c:v>
                </c:pt>
                <c:pt idx="18">
                  <c:v>14</c:v>
                </c:pt>
                <c:pt idx="19">
                  <c:v>7</c:v>
                </c:pt>
                <c:pt idx="20">
                  <c:v>4</c:v>
                </c:pt>
                <c:pt idx="21">
                  <c:v>18</c:v>
                </c:pt>
                <c:pt idx="22">
                  <c:v>12</c:v>
                </c:pt>
                <c:pt idx="23">
                  <c:v>18</c:v>
                </c:pt>
                <c:pt idx="24">
                  <c:v>13</c:v>
                </c:pt>
                <c:pt idx="25">
                  <c:v>11</c:v>
                </c:pt>
                <c:pt idx="26">
                  <c:v>16</c:v>
                </c:pt>
                <c:pt idx="27">
                  <c:v>7</c:v>
                </c:pt>
                <c:pt idx="28">
                  <c:v>15.5</c:v>
                </c:pt>
                <c:pt idx="29">
                  <c:v>12.666666666666666</c:v>
                </c:pt>
                <c:pt idx="30">
                  <c:v>13</c:v>
                </c:pt>
                <c:pt idx="31">
                  <c:v>14.5</c:v>
                </c:pt>
                <c:pt idx="32">
                  <c:v>5</c:v>
                </c:pt>
                <c:pt idx="33">
                  <c:v>12</c:v>
                </c:pt>
                <c:pt idx="34">
                  <c:v>10.5</c:v>
                </c:pt>
                <c:pt idx="35">
                  <c:v>11</c:v>
                </c:pt>
                <c:pt idx="36">
                  <c:v>3</c:v>
                </c:pt>
                <c:pt idx="37">
                  <c:v>19</c:v>
                </c:pt>
                <c:pt idx="38">
                  <c:v>10</c:v>
                </c:pt>
                <c:pt idx="39">
                  <c:v>2</c:v>
                </c:pt>
                <c:pt idx="40">
                  <c:v>20</c:v>
                </c:pt>
                <c:pt idx="41">
                  <c:v>11.5</c:v>
                </c:pt>
                <c:pt idx="42">
                  <c:v>16</c:v>
                </c:pt>
                <c:pt idx="43">
                  <c:v>8.6666666666666661</c:v>
                </c:pt>
                <c:pt idx="44">
                  <c:v>8</c:v>
                </c:pt>
                <c:pt idx="45">
                  <c:v>10.5</c:v>
                </c:pt>
              </c:numCache>
            </c:numRef>
          </c:val>
          <c:smooth val="0"/>
          <c:extLst>
            <c:ext xmlns:c16="http://schemas.microsoft.com/office/drawing/2014/chart" uri="{C3380CC4-5D6E-409C-BE32-E72D297353CC}">
              <c16:uniqueId val="{00000001-8156-49F9-98AB-67901DED6BFA}"/>
            </c:ext>
          </c:extLst>
        </c:ser>
        <c:dLbls>
          <c:showLegendKey val="0"/>
          <c:showVal val="0"/>
          <c:showCatName val="0"/>
          <c:showSerName val="0"/>
          <c:showPercent val="0"/>
          <c:showBubbleSize val="0"/>
        </c:dLbls>
        <c:smooth val="0"/>
        <c:axId val="1525263743"/>
        <c:axId val="1525264223"/>
      </c:lineChart>
      <c:catAx>
        <c:axId val="152526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64223"/>
        <c:crosses val="autoZero"/>
        <c:auto val="1"/>
        <c:lblAlgn val="ctr"/>
        <c:lblOffset val="100"/>
        <c:noMultiLvlLbl val="0"/>
      </c:catAx>
      <c:valAx>
        <c:axId val="1525264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6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Defect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Slicer!$E$118</c:f>
              <c:strCache>
                <c:ptCount val="1"/>
                <c:pt idx="0">
                  <c:v>Total</c:v>
                </c:pt>
              </c:strCache>
            </c:strRef>
          </c:tx>
          <c:spPr>
            <a:ln w="28575" cap="rnd">
              <a:solidFill>
                <a:schemeClr val="accent6"/>
              </a:solidFill>
              <a:round/>
            </a:ln>
            <a:effectLst/>
          </c:spPr>
          <c:marker>
            <c:symbol val="none"/>
          </c:marker>
          <c:cat>
            <c:multiLvlStrRef>
              <c:f>Slicer!$D$119:$D$170</c:f>
              <c:multiLvlStrCache>
                <c:ptCount val="46"/>
                <c:lvl>
                  <c:pt idx="0">
                    <c:v>April</c:v>
                  </c:pt>
                  <c:pt idx="1">
                    <c:v>August</c:v>
                  </c:pt>
                  <c:pt idx="2">
                    <c:v>December</c:v>
                  </c:pt>
                  <c:pt idx="3">
                    <c:v>January</c:v>
                  </c:pt>
                  <c:pt idx="4">
                    <c:v>July</c:v>
                  </c:pt>
                  <c:pt idx="5">
                    <c:v>June</c:v>
                  </c:pt>
                  <c:pt idx="6">
                    <c:v>March</c:v>
                  </c:pt>
                  <c:pt idx="7">
                    <c:v>May</c:v>
                  </c:pt>
                  <c:pt idx="8">
                    <c:v>October</c:v>
                  </c:pt>
                  <c:pt idx="9">
                    <c:v>September</c:v>
                  </c:pt>
                  <c:pt idx="10">
                    <c:v>April</c:v>
                  </c:pt>
                  <c:pt idx="11">
                    <c:v>August</c:v>
                  </c:pt>
                  <c:pt idx="12">
                    <c:v>December</c:v>
                  </c:pt>
                  <c:pt idx="13">
                    <c:v>February</c:v>
                  </c:pt>
                  <c:pt idx="14">
                    <c:v>July</c:v>
                  </c:pt>
                  <c:pt idx="15">
                    <c:v>June</c:v>
                  </c:pt>
                  <c:pt idx="16">
                    <c:v>March</c:v>
                  </c:pt>
                  <c:pt idx="17">
                    <c:v>May</c:v>
                  </c:pt>
                  <c:pt idx="18">
                    <c:v>November</c:v>
                  </c:pt>
                  <c:pt idx="19">
                    <c:v>October</c:v>
                  </c:pt>
                  <c:pt idx="20">
                    <c:v>September</c:v>
                  </c:pt>
                  <c:pt idx="21">
                    <c:v>April</c:v>
                  </c:pt>
                  <c:pt idx="22">
                    <c:v>December</c:v>
                  </c:pt>
                  <c:pt idx="23">
                    <c:v>January</c:v>
                  </c:pt>
                  <c:pt idx="24">
                    <c:v>July</c:v>
                  </c:pt>
                  <c:pt idx="25">
                    <c:v>June</c:v>
                  </c:pt>
                  <c:pt idx="26">
                    <c:v>May</c:v>
                  </c:pt>
                  <c:pt idx="27">
                    <c:v>November</c:v>
                  </c:pt>
                  <c:pt idx="28">
                    <c:v>October</c:v>
                  </c:pt>
                  <c:pt idx="29">
                    <c:v>September</c:v>
                  </c:pt>
                  <c:pt idx="30">
                    <c:v>April</c:v>
                  </c:pt>
                  <c:pt idx="31">
                    <c:v>August</c:v>
                  </c:pt>
                  <c:pt idx="32">
                    <c:v>December</c:v>
                  </c:pt>
                  <c:pt idx="33">
                    <c:v>February</c:v>
                  </c:pt>
                  <c:pt idx="34">
                    <c:v>January</c:v>
                  </c:pt>
                  <c:pt idx="35">
                    <c:v>July</c:v>
                  </c:pt>
                  <c:pt idx="36">
                    <c:v>June</c:v>
                  </c:pt>
                  <c:pt idx="37">
                    <c:v>March</c:v>
                  </c:pt>
                  <c:pt idx="38">
                    <c:v>November</c:v>
                  </c:pt>
                  <c:pt idx="39">
                    <c:v>August</c:v>
                  </c:pt>
                  <c:pt idx="40">
                    <c:v>December</c:v>
                  </c:pt>
                  <c:pt idx="41">
                    <c:v>January</c:v>
                  </c:pt>
                  <c:pt idx="42">
                    <c:v>June</c:v>
                  </c:pt>
                  <c:pt idx="43">
                    <c:v>March</c:v>
                  </c:pt>
                  <c:pt idx="44">
                    <c:v>November</c:v>
                  </c:pt>
                  <c:pt idx="45">
                    <c:v>October</c:v>
                  </c:pt>
                </c:lvl>
                <c:lvl>
                  <c:pt idx="0">
                    <c:v>Alpha Inc</c:v>
                  </c:pt>
                  <c:pt idx="10">
                    <c:v>Beta Supplies</c:v>
                  </c:pt>
                  <c:pt idx="21">
                    <c:v>Delta Logistics</c:v>
                  </c:pt>
                  <c:pt idx="30">
                    <c:v>Epsilon Group</c:v>
                  </c:pt>
                  <c:pt idx="39">
                    <c:v>Gamma Co</c:v>
                  </c:pt>
                </c:lvl>
              </c:multiLvlStrCache>
            </c:multiLvlStrRef>
          </c:cat>
          <c:val>
            <c:numRef>
              <c:f>Slicer!$E$119:$E$170</c:f>
              <c:numCache>
                <c:formatCode>0%</c:formatCode>
                <c:ptCount val="46"/>
                <c:pt idx="0">
                  <c:v>1.1053315994798439E-2</c:v>
                </c:pt>
                <c:pt idx="1">
                  <c:v>2.0044543429844099E-2</c:v>
                </c:pt>
                <c:pt idx="2">
                  <c:v>1.8292682926829267E-2</c:v>
                </c:pt>
                <c:pt idx="3">
                  <c:v>2.3209890960410567E-2</c:v>
                </c:pt>
                <c:pt idx="4">
                  <c:v>1.6489988221436984E-2</c:v>
                </c:pt>
                <c:pt idx="5">
                  <c:v>0</c:v>
                </c:pt>
                <c:pt idx="6">
                  <c:v>1.3694818121078117E-2</c:v>
                </c:pt>
                <c:pt idx="7">
                  <c:v>9.433962264150943E-3</c:v>
                </c:pt>
                <c:pt idx="8">
                  <c:v>2.9808684607446217E-2</c:v>
                </c:pt>
                <c:pt idx="9">
                  <c:v>1.4008620689655173E-2</c:v>
                </c:pt>
                <c:pt idx="10">
                  <c:v>0.12271540469973891</c:v>
                </c:pt>
                <c:pt idx="11">
                  <c:v>0.1048016956299798</c:v>
                </c:pt>
                <c:pt idx="12">
                  <c:v>5.1437699680511186E-2</c:v>
                </c:pt>
                <c:pt idx="13">
                  <c:v>0.10141869963785063</c:v>
                </c:pt>
                <c:pt idx="14">
                  <c:v>9.3572816084096122E-2</c:v>
                </c:pt>
                <c:pt idx="15">
                  <c:v>0.10880829015544041</c:v>
                </c:pt>
                <c:pt idx="16">
                  <c:v>9.1795754446356861E-2</c:v>
                </c:pt>
                <c:pt idx="17">
                  <c:v>0.10344495702576162</c:v>
                </c:pt>
                <c:pt idx="18">
                  <c:v>9.4391244870041038E-2</c:v>
                </c:pt>
                <c:pt idx="19">
                  <c:v>0.10893032384690873</c:v>
                </c:pt>
                <c:pt idx="20">
                  <c:v>9.7359735973597358E-2</c:v>
                </c:pt>
                <c:pt idx="21">
                  <c:v>7.3913043478260873E-2</c:v>
                </c:pt>
                <c:pt idx="22">
                  <c:v>0.16473000683527</c:v>
                </c:pt>
                <c:pt idx="23">
                  <c:v>0.16421895861148197</c:v>
                </c:pt>
                <c:pt idx="24">
                  <c:v>0.13141993957703926</c:v>
                </c:pt>
                <c:pt idx="25">
                  <c:v>6.25E-2</c:v>
                </c:pt>
                <c:pt idx="26">
                  <c:v>0</c:v>
                </c:pt>
                <c:pt idx="27">
                  <c:v>0.10045625065641862</c:v>
                </c:pt>
                <c:pt idx="28">
                  <c:v>7.3601973684210523E-2</c:v>
                </c:pt>
                <c:pt idx="29">
                  <c:v>9.850334789065962E-2</c:v>
                </c:pt>
                <c:pt idx="30">
                  <c:v>2.7292576419213975E-2</c:v>
                </c:pt>
                <c:pt idx="31">
                  <c:v>3.5816161540440039E-2</c:v>
                </c:pt>
                <c:pt idx="32">
                  <c:v>2.8669902958796623E-2</c:v>
                </c:pt>
                <c:pt idx="33">
                  <c:v>3.5028248587570622E-2</c:v>
                </c:pt>
                <c:pt idx="34">
                  <c:v>3.103456473161223E-2</c:v>
                </c:pt>
                <c:pt idx="35">
                  <c:v>2.9464285714285714E-2</c:v>
                </c:pt>
                <c:pt idx="36">
                  <c:v>2.7835051546391754E-2</c:v>
                </c:pt>
                <c:pt idx="37">
                  <c:v>2.8801071667782986E-2</c:v>
                </c:pt>
                <c:pt idx="38">
                  <c:v>2.7619117872362157E-2</c:v>
                </c:pt>
                <c:pt idx="39">
                  <c:v>0</c:v>
                </c:pt>
                <c:pt idx="40">
                  <c:v>5.8873720136518773E-2</c:v>
                </c:pt>
                <c:pt idx="41">
                  <c:v>5.0039242369632808E-2</c:v>
                </c:pt>
                <c:pt idx="42">
                  <c:v>4.7759000734753858E-2</c:v>
                </c:pt>
                <c:pt idx="43">
                  <c:v>4.5977842793191427E-2</c:v>
                </c:pt>
                <c:pt idx="44">
                  <c:v>1.7099711303575394E-2</c:v>
                </c:pt>
                <c:pt idx="45">
                  <c:v>5.6742751139250716E-2</c:v>
                </c:pt>
              </c:numCache>
            </c:numRef>
          </c:val>
          <c:smooth val="0"/>
          <c:extLst>
            <c:ext xmlns:c16="http://schemas.microsoft.com/office/drawing/2014/chart" uri="{C3380CC4-5D6E-409C-BE32-E72D297353CC}">
              <c16:uniqueId val="{00000001-6334-4F42-BB2F-E7B1DF1AFEC8}"/>
            </c:ext>
          </c:extLst>
        </c:ser>
        <c:dLbls>
          <c:showLegendKey val="0"/>
          <c:showVal val="0"/>
          <c:showCatName val="0"/>
          <c:showSerName val="0"/>
          <c:showPercent val="0"/>
          <c:showBubbleSize val="0"/>
        </c:dLbls>
        <c:smooth val="0"/>
        <c:axId val="1525357343"/>
        <c:axId val="1525364543"/>
      </c:lineChart>
      <c:catAx>
        <c:axId val="15253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364543"/>
        <c:crosses val="autoZero"/>
        <c:auto val="1"/>
        <c:lblAlgn val="ctr"/>
        <c:lblOffset val="100"/>
        <c:noMultiLvlLbl val="0"/>
      </c:catAx>
      <c:valAx>
        <c:axId val="15253645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35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Dashboard.xlsx]Slicer!PivotTable2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37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Slicer!$V$5:$V$7</c:f>
              <c:strCache>
                <c:ptCount val="1"/>
                <c:pt idx="0">
                  <c:v>MRO - 2023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Slicer!$U$8:$U$13</c:f>
              <c:strCache>
                <c:ptCount val="5"/>
                <c:pt idx="0">
                  <c:v>Alpha Inc</c:v>
                </c:pt>
                <c:pt idx="1">
                  <c:v>Gamma Co</c:v>
                </c:pt>
                <c:pt idx="2">
                  <c:v>Beta Supplies</c:v>
                </c:pt>
                <c:pt idx="3">
                  <c:v>Delta Logistics</c:v>
                </c:pt>
                <c:pt idx="4">
                  <c:v>Epsilon Group</c:v>
                </c:pt>
              </c:strCache>
            </c:strRef>
          </c:cat>
          <c:val>
            <c:numRef>
              <c:f>Slicer!$V$8:$V$13</c:f>
              <c:numCache>
                <c:formatCode>"₹"\ #,##0.00</c:formatCode>
                <c:ptCount val="5"/>
                <c:pt idx="0">
                  <c:v>58.664375</c:v>
                </c:pt>
                <c:pt idx="1">
                  <c:v>60.754615384615377</c:v>
                </c:pt>
                <c:pt idx="2">
                  <c:v>61.038125000000001</c:v>
                </c:pt>
                <c:pt idx="3">
                  <c:v>64.56941176470589</c:v>
                </c:pt>
                <c:pt idx="4">
                  <c:v>65.332142857142856</c:v>
                </c:pt>
              </c:numCache>
            </c:numRef>
          </c:val>
          <c:extLst>
            <c:ext xmlns:c16="http://schemas.microsoft.com/office/drawing/2014/chart" uri="{C3380CC4-5D6E-409C-BE32-E72D297353CC}">
              <c16:uniqueId val="{00000002-0EF7-440A-8F98-AB5A96BB68F6}"/>
            </c:ext>
          </c:extLst>
        </c:ser>
        <c:dLbls>
          <c:dLblPos val="outEnd"/>
          <c:showLegendKey val="0"/>
          <c:showVal val="1"/>
          <c:showCatName val="0"/>
          <c:showSerName val="0"/>
          <c:showPercent val="0"/>
          <c:showBubbleSize val="0"/>
        </c:dLbls>
        <c:gapWidth val="219"/>
        <c:overlap val="-27"/>
        <c:axId val="425836016"/>
        <c:axId val="425833616"/>
      </c:barChart>
      <c:catAx>
        <c:axId val="4258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33616"/>
        <c:crosses val="autoZero"/>
        <c:auto val="1"/>
        <c:lblAlgn val="ctr"/>
        <c:lblOffset val="100"/>
        <c:noMultiLvlLbl val="0"/>
      </c:catAx>
      <c:valAx>
        <c:axId val="425833616"/>
        <c:scaling>
          <c:orientation val="minMax"/>
        </c:scaling>
        <c:delete val="1"/>
        <c:axPos val="l"/>
        <c:numFmt formatCode="&quot;₹&quot;\ #,##0.00" sourceLinked="1"/>
        <c:majorTickMark val="none"/>
        <c:minorTickMark val="none"/>
        <c:tickLblPos val="nextTo"/>
        <c:crossAx val="425836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5</xdr:col>
      <xdr:colOff>563517</xdr:colOff>
      <xdr:row>99</xdr:row>
      <xdr:rowOff>75111</xdr:rowOff>
    </xdr:from>
    <xdr:to>
      <xdr:col>7</xdr:col>
      <xdr:colOff>512717</xdr:colOff>
      <xdr:row>113</xdr:row>
      <xdr:rowOff>0</xdr:rowOff>
    </xdr:to>
    <mc:AlternateContent xmlns:mc="http://schemas.openxmlformats.org/markup-compatibility/2006" xmlns:sle15="http://schemas.microsoft.com/office/drawing/2012/slicer">
      <mc:Choice Requires="sle15">
        <xdr:graphicFrame macro="">
          <xdr:nvGraphicFramePr>
            <xdr:cNvPr id="4" name="Month">
              <a:extLst>
                <a:ext uri="{FF2B5EF4-FFF2-40B4-BE49-F238E27FC236}">
                  <a16:creationId xmlns:a16="http://schemas.microsoft.com/office/drawing/2014/main" id="{CBB70A9A-5123-BD5E-8CEF-45C55FADA0E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195060" y="18036540"/>
              <a:ext cx="1828800" cy="246488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230777</xdr:colOff>
      <xdr:row>102</xdr:row>
      <xdr:rowOff>10886</xdr:rowOff>
    </xdr:from>
    <xdr:to>
      <xdr:col>8</xdr:col>
      <xdr:colOff>209006</xdr:colOff>
      <xdr:row>115</xdr:row>
      <xdr:rowOff>119289</xdr:rowOff>
    </xdr:to>
    <mc:AlternateContent xmlns:mc="http://schemas.openxmlformats.org/markup-compatibility/2006" xmlns:sle15="http://schemas.microsoft.com/office/drawing/2012/slicer">
      <mc:Choice Requires="sle15">
        <xdr:graphicFrame macro="">
          <xdr:nvGraphicFramePr>
            <xdr:cNvPr id="5" name="Year">
              <a:extLst>
                <a:ext uri="{FF2B5EF4-FFF2-40B4-BE49-F238E27FC236}">
                  <a16:creationId xmlns:a16="http://schemas.microsoft.com/office/drawing/2014/main" id="{62A4E838-60E3-C025-DEAD-4FEA53D3723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75120" y="18516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297180</xdr:colOff>
      <xdr:row>0</xdr:row>
      <xdr:rowOff>15240</xdr:rowOff>
    </xdr:from>
    <xdr:to>
      <xdr:col>13</xdr:col>
      <xdr:colOff>297180</xdr:colOff>
      <xdr:row>13</xdr:row>
      <xdr:rowOff>104775</xdr:rowOff>
    </xdr:to>
    <mc:AlternateContent xmlns:mc="http://schemas.openxmlformats.org/markup-compatibility/2006" xmlns:a14="http://schemas.microsoft.com/office/drawing/2010/main">
      <mc:Choice Requires="a14">
        <xdr:graphicFrame macro="">
          <xdr:nvGraphicFramePr>
            <xdr:cNvPr id="2" name="Item_Category">
              <a:extLst>
                <a:ext uri="{FF2B5EF4-FFF2-40B4-BE49-F238E27FC236}">
                  <a16:creationId xmlns:a16="http://schemas.microsoft.com/office/drawing/2014/main" id="{8538165A-AD03-EA01-947E-DF0D04723B9D}"/>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mlns="">
        <xdr:sp macro="" textlink="">
          <xdr:nvSpPr>
            <xdr:cNvPr id="0" name=""/>
            <xdr:cNvSpPr>
              <a:spLocks noTextEdit="1"/>
            </xdr:cNvSpPr>
          </xdr:nvSpPr>
          <xdr:spPr>
            <a:xfrm>
              <a:off x="7414260" y="15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0</xdr:row>
      <xdr:rowOff>0</xdr:rowOff>
    </xdr:from>
    <xdr:to>
      <xdr:col>10</xdr:col>
      <xdr:colOff>228600</xdr:colOff>
      <xdr:row>13</xdr:row>
      <xdr:rowOff>89535</xdr:rowOff>
    </xdr:to>
    <mc:AlternateContent xmlns:mc="http://schemas.openxmlformats.org/markup-compatibility/2006" xmlns:a14="http://schemas.microsoft.com/office/drawing/2010/main">
      <mc:Choice Requires="a14">
        <xdr:graphicFrame macro="">
          <xdr:nvGraphicFramePr>
            <xdr:cNvPr id="3" name="Supplier">
              <a:extLst>
                <a:ext uri="{FF2B5EF4-FFF2-40B4-BE49-F238E27FC236}">
                  <a16:creationId xmlns:a16="http://schemas.microsoft.com/office/drawing/2014/main" id="{69CC8BA9-1331-8A37-3CF2-A745B555D61F}"/>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551688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533400</xdr:colOff>
      <xdr:row>0</xdr:row>
      <xdr:rowOff>0</xdr:rowOff>
    </xdr:from>
    <xdr:to>
      <xdr:col>19</xdr:col>
      <xdr:colOff>533400</xdr:colOff>
      <xdr:row>13</xdr:row>
      <xdr:rowOff>89535</xdr:rowOff>
    </xdr:to>
    <mc:AlternateContent xmlns:mc="http://schemas.openxmlformats.org/markup-compatibility/2006" xmlns:a14="http://schemas.microsoft.com/office/drawing/2010/main">
      <mc:Choice Requires="a14">
        <xdr:graphicFrame macro="">
          <xdr:nvGraphicFramePr>
            <xdr:cNvPr id="4" name="Month 2">
              <a:extLst>
                <a:ext uri="{FF2B5EF4-FFF2-40B4-BE49-F238E27FC236}">
                  <a16:creationId xmlns:a16="http://schemas.microsoft.com/office/drawing/2014/main" id="{A48FD188-C082-B602-8C46-215F9ADB9E8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30808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403860</xdr:colOff>
      <xdr:row>0</xdr:row>
      <xdr:rowOff>15240</xdr:rowOff>
    </xdr:from>
    <xdr:to>
      <xdr:col>16</xdr:col>
      <xdr:colOff>403860</xdr:colOff>
      <xdr:row>13</xdr:row>
      <xdr:rowOff>104775</xdr:rowOff>
    </xdr:to>
    <mc:AlternateContent xmlns:mc="http://schemas.openxmlformats.org/markup-compatibility/2006" xmlns:a14="http://schemas.microsoft.com/office/drawing/2010/main">
      <mc:Choice Requires="a14">
        <xdr:graphicFrame macro="">
          <xdr:nvGraphicFramePr>
            <xdr:cNvPr id="5" name="Year 2">
              <a:extLst>
                <a:ext uri="{FF2B5EF4-FFF2-40B4-BE49-F238E27FC236}">
                  <a16:creationId xmlns:a16="http://schemas.microsoft.com/office/drawing/2014/main" id="{31F53116-2442-E91A-E6EC-836CD20EDFA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349740" y="15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167640</xdr:colOff>
      <xdr:row>14</xdr:row>
      <xdr:rowOff>45720</xdr:rowOff>
    </xdr:from>
    <xdr:to>
      <xdr:col>20</xdr:col>
      <xdr:colOff>601980</xdr:colOff>
      <xdr:row>37</xdr:row>
      <xdr:rowOff>68580</xdr:rowOff>
    </xdr:to>
    <xdr:graphicFrame macro="">
      <xdr:nvGraphicFramePr>
        <xdr:cNvPr id="8" name="Chart 7">
          <a:extLst>
            <a:ext uri="{FF2B5EF4-FFF2-40B4-BE49-F238E27FC236}">
              <a16:creationId xmlns:a16="http://schemas.microsoft.com/office/drawing/2014/main" id="{FEABFE3F-253C-711F-798A-ED0A129EC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38</xdr:row>
      <xdr:rowOff>41910</xdr:rowOff>
    </xdr:from>
    <xdr:to>
      <xdr:col>15</xdr:col>
      <xdr:colOff>228600</xdr:colOff>
      <xdr:row>56</xdr:row>
      <xdr:rowOff>76200</xdr:rowOff>
    </xdr:to>
    <xdr:graphicFrame macro="">
      <xdr:nvGraphicFramePr>
        <xdr:cNvPr id="10" name="Chart 9">
          <a:extLst>
            <a:ext uri="{FF2B5EF4-FFF2-40B4-BE49-F238E27FC236}">
              <a16:creationId xmlns:a16="http://schemas.microsoft.com/office/drawing/2014/main" id="{75154EAB-20E3-6900-91CF-AC8448BF8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312420</xdr:colOff>
      <xdr:row>57</xdr:row>
      <xdr:rowOff>3810</xdr:rowOff>
    </xdr:from>
    <xdr:to>
      <xdr:col>17</xdr:col>
      <xdr:colOff>0</xdr:colOff>
      <xdr:row>74</xdr:row>
      <xdr:rowOff>160020</xdr:rowOff>
    </xdr:to>
    <xdr:graphicFrame macro="">
      <xdr:nvGraphicFramePr>
        <xdr:cNvPr id="6" name="Chart 5">
          <a:extLst>
            <a:ext uri="{FF2B5EF4-FFF2-40B4-BE49-F238E27FC236}">
              <a16:creationId xmlns:a16="http://schemas.microsoft.com/office/drawing/2014/main" id="{3BAB4F2C-5152-69AE-2EB5-F3D181A5B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335280</xdr:colOff>
      <xdr:row>75</xdr:row>
      <xdr:rowOff>171450</xdr:rowOff>
    </xdr:from>
    <xdr:to>
      <xdr:col>17</xdr:col>
      <xdr:colOff>556260</xdr:colOff>
      <xdr:row>96</xdr:row>
      <xdr:rowOff>106680</xdr:rowOff>
    </xdr:to>
    <xdr:graphicFrame macro="">
      <xdr:nvGraphicFramePr>
        <xdr:cNvPr id="7" name="Chart 6">
          <a:extLst>
            <a:ext uri="{FF2B5EF4-FFF2-40B4-BE49-F238E27FC236}">
              <a16:creationId xmlns:a16="http://schemas.microsoft.com/office/drawing/2014/main" id="{5DF37E48-B334-7265-C505-463870538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335280</xdr:colOff>
      <xdr:row>97</xdr:row>
      <xdr:rowOff>72390</xdr:rowOff>
    </xdr:from>
    <xdr:to>
      <xdr:col>17</xdr:col>
      <xdr:colOff>571500</xdr:colOff>
      <xdr:row>114</xdr:row>
      <xdr:rowOff>83820</xdr:rowOff>
    </xdr:to>
    <xdr:graphicFrame macro="">
      <xdr:nvGraphicFramePr>
        <xdr:cNvPr id="9" name="Chart 8">
          <a:extLst>
            <a:ext uri="{FF2B5EF4-FFF2-40B4-BE49-F238E27FC236}">
              <a16:creationId xmlns:a16="http://schemas.microsoft.com/office/drawing/2014/main" id="{79733F51-A832-354C-637D-D4123A29A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137160</xdr:colOff>
      <xdr:row>115</xdr:row>
      <xdr:rowOff>26670</xdr:rowOff>
    </xdr:from>
    <xdr:to>
      <xdr:col>17</xdr:col>
      <xdr:colOff>533400</xdr:colOff>
      <xdr:row>134</xdr:row>
      <xdr:rowOff>30480</xdr:rowOff>
    </xdr:to>
    <xdr:graphicFrame macro="">
      <xdr:nvGraphicFramePr>
        <xdr:cNvPr id="11" name="Chart 10">
          <a:extLst>
            <a:ext uri="{FF2B5EF4-FFF2-40B4-BE49-F238E27FC236}">
              <a16:creationId xmlns:a16="http://schemas.microsoft.com/office/drawing/2014/main" id="{750BB235-F81F-7D27-B648-E171720C1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243839</xdr:colOff>
      <xdr:row>0</xdr:row>
      <xdr:rowOff>106680</xdr:rowOff>
    </xdr:from>
    <xdr:to>
      <xdr:col>24</xdr:col>
      <xdr:colOff>217713</xdr:colOff>
      <xdr:row>3</xdr:row>
      <xdr:rowOff>53340</xdr:rowOff>
    </xdr:to>
    <xdr:sp macro="" textlink="">
      <xdr:nvSpPr>
        <xdr:cNvPr id="2" name="Rectangle: Rounded Corners 1">
          <a:extLst>
            <a:ext uri="{FF2B5EF4-FFF2-40B4-BE49-F238E27FC236}">
              <a16:creationId xmlns:a16="http://schemas.microsoft.com/office/drawing/2014/main" id="{A381F3FD-F010-65DA-1698-81529A278DB9}"/>
            </a:ext>
          </a:extLst>
        </xdr:cNvPr>
        <xdr:cNvSpPr/>
      </xdr:nvSpPr>
      <xdr:spPr>
        <a:xfrm>
          <a:off x="243839" y="106680"/>
          <a:ext cx="14560731" cy="49094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22859</xdr:colOff>
      <xdr:row>0</xdr:row>
      <xdr:rowOff>114300</xdr:rowOff>
    </xdr:from>
    <xdr:to>
      <xdr:col>20</xdr:col>
      <xdr:colOff>163285</xdr:colOff>
      <xdr:row>3</xdr:row>
      <xdr:rowOff>38100</xdr:rowOff>
    </xdr:to>
    <xdr:sp macro="" textlink="">
      <xdr:nvSpPr>
        <xdr:cNvPr id="3" name="TextBox 2">
          <a:extLst>
            <a:ext uri="{FF2B5EF4-FFF2-40B4-BE49-F238E27FC236}">
              <a16:creationId xmlns:a16="http://schemas.microsoft.com/office/drawing/2014/main" id="{473ED993-DE55-5D41-ECE7-0F7B0BCA5BCA}"/>
            </a:ext>
          </a:extLst>
        </xdr:cNvPr>
        <xdr:cNvSpPr txBox="1"/>
      </xdr:nvSpPr>
      <xdr:spPr>
        <a:xfrm>
          <a:off x="2454002" y="114300"/>
          <a:ext cx="9864997" cy="46808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Vendor</a:t>
          </a:r>
          <a:r>
            <a:rPr lang="en-IN" sz="2400" baseline="0"/>
            <a:t> Cost Comparison</a:t>
          </a:r>
          <a:endParaRPr lang="en-IN" sz="2400"/>
        </a:p>
      </xdr:txBody>
    </xdr:sp>
    <xdr:clientData/>
  </xdr:twoCellAnchor>
  <xdr:twoCellAnchor>
    <xdr:from>
      <xdr:col>0</xdr:col>
      <xdr:colOff>435430</xdr:colOff>
      <xdr:row>6</xdr:row>
      <xdr:rowOff>27215</xdr:rowOff>
    </xdr:from>
    <xdr:to>
      <xdr:col>2</xdr:col>
      <xdr:colOff>408215</xdr:colOff>
      <xdr:row>8</xdr:row>
      <xdr:rowOff>81643</xdr:rowOff>
    </xdr:to>
    <xdr:sp macro="" textlink="Cards!A4:B4">
      <xdr:nvSpPr>
        <xdr:cNvPr id="8" name="Rectangle: Rounded Corners 7">
          <a:extLst>
            <a:ext uri="{FF2B5EF4-FFF2-40B4-BE49-F238E27FC236}">
              <a16:creationId xmlns:a16="http://schemas.microsoft.com/office/drawing/2014/main" id="{4498DC6A-B5D5-8DD2-29B9-E8090E5FCDE3}"/>
            </a:ext>
          </a:extLst>
        </xdr:cNvPr>
        <xdr:cNvSpPr/>
      </xdr:nvSpPr>
      <xdr:spPr>
        <a:xfrm>
          <a:off x="435430" y="1115786"/>
          <a:ext cx="1188356" cy="41728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9730150-F4CA-4355-B883-A15BB62F93A9}"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l"/>
            <a:t>5</a:t>
          </a:fld>
          <a:endParaRPr lang="en-IN" sz="1100">
            <a:solidFill>
              <a:schemeClr val="tx1"/>
            </a:solidFill>
          </a:endParaRPr>
        </a:p>
      </xdr:txBody>
    </xdr:sp>
    <xdr:clientData/>
  </xdr:twoCellAnchor>
  <xdr:twoCellAnchor>
    <xdr:from>
      <xdr:col>2</xdr:col>
      <xdr:colOff>607785</xdr:colOff>
      <xdr:row>5</xdr:row>
      <xdr:rowOff>172357</xdr:rowOff>
    </xdr:from>
    <xdr:to>
      <xdr:col>5</xdr:col>
      <xdr:colOff>81642</xdr:colOff>
      <xdr:row>8</xdr:row>
      <xdr:rowOff>54429</xdr:rowOff>
    </xdr:to>
    <xdr:sp macro="" textlink="Cards!B4:C4">
      <xdr:nvSpPr>
        <xdr:cNvPr id="9" name="Rectangle: Rounded Corners 8">
          <a:extLst>
            <a:ext uri="{FF2B5EF4-FFF2-40B4-BE49-F238E27FC236}">
              <a16:creationId xmlns:a16="http://schemas.microsoft.com/office/drawing/2014/main" id="{149E4EF3-9424-4A1C-BD53-E88774D88983}"/>
            </a:ext>
          </a:extLst>
        </xdr:cNvPr>
        <xdr:cNvSpPr/>
      </xdr:nvSpPr>
      <xdr:spPr>
        <a:xfrm>
          <a:off x="1823356" y="1079500"/>
          <a:ext cx="1297215" cy="426358"/>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41C6D73-389E-49CD-BF64-F0D5AE7989FE}" type="TxLink">
            <a:rPr lang="en-US" sz="1100" b="0" i="0" u="none" strike="noStrike">
              <a:solidFill>
                <a:schemeClr val="tx1"/>
              </a:solidFill>
              <a:latin typeface="Calibri"/>
              <a:ea typeface="Calibri"/>
              <a:cs typeface="Calibri"/>
            </a:rPr>
            <a:pPr algn="l"/>
            <a:t>89142</a:t>
          </a:fld>
          <a:endParaRPr lang="en-IN" sz="1100">
            <a:solidFill>
              <a:schemeClr val="tx1"/>
            </a:solidFill>
          </a:endParaRPr>
        </a:p>
      </xdr:txBody>
    </xdr:sp>
    <xdr:clientData/>
  </xdr:twoCellAnchor>
  <xdr:twoCellAnchor>
    <xdr:from>
      <xdr:col>3</xdr:col>
      <xdr:colOff>589643</xdr:colOff>
      <xdr:row>12</xdr:row>
      <xdr:rowOff>0</xdr:rowOff>
    </xdr:from>
    <xdr:to>
      <xdr:col>4</xdr:col>
      <xdr:colOff>544286</xdr:colOff>
      <xdr:row>14</xdr:row>
      <xdr:rowOff>0</xdr:rowOff>
    </xdr:to>
    <xdr:sp macro="" textlink="">
      <xdr:nvSpPr>
        <xdr:cNvPr id="16" name="TextBox 15">
          <a:extLst>
            <a:ext uri="{FF2B5EF4-FFF2-40B4-BE49-F238E27FC236}">
              <a16:creationId xmlns:a16="http://schemas.microsoft.com/office/drawing/2014/main" id="{18564E61-AAAE-DC1C-4B1B-C4F609CBEAFF}"/>
            </a:ext>
          </a:extLst>
        </xdr:cNvPr>
        <xdr:cNvSpPr txBox="1"/>
      </xdr:nvSpPr>
      <xdr:spPr>
        <a:xfrm>
          <a:off x="2413000" y="2177143"/>
          <a:ext cx="562429" cy="362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288471</xdr:colOff>
      <xdr:row>4</xdr:row>
      <xdr:rowOff>79829</xdr:rowOff>
    </xdr:from>
    <xdr:to>
      <xdr:col>2</xdr:col>
      <xdr:colOff>488043</xdr:colOff>
      <xdr:row>6</xdr:row>
      <xdr:rowOff>18143</xdr:rowOff>
    </xdr:to>
    <xdr:sp macro="" textlink="">
      <xdr:nvSpPr>
        <xdr:cNvPr id="17" name="Rectangle: Rounded Corners 16">
          <a:extLst>
            <a:ext uri="{FF2B5EF4-FFF2-40B4-BE49-F238E27FC236}">
              <a16:creationId xmlns:a16="http://schemas.microsoft.com/office/drawing/2014/main" id="{F6B62498-4BC9-4E32-9D13-D06B1427A681}"/>
            </a:ext>
          </a:extLst>
        </xdr:cNvPr>
        <xdr:cNvSpPr/>
      </xdr:nvSpPr>
      <xdr:spPr>
        <a:xfrm>
          <a:off x="288471" y="805543"/>
          <a:ext cx="1415143" cy="30117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205014</xdr:colOff>
      <xdr:row>4</xdr:row>
      <xdr:rowOff>59873</xdr:rowOff>
    </xdr:from>
    <xdr:to>
      <xdr:col>7</xdr:col>
      <xdr:colOff>404586</xdr:colOff>
      <xdr:row>5</xdr:row>
      <xdr:rowOff>179615</xdr:rowOff>
    </xdr:to>
    <xdr:sp macro="" textlink="">
      <xdr:nvSpPr>
        <xdr:cNvPr id="24" name="Rectangle: Rounded Corners 23">
          <a:extLst>
            <a:ext uri="{FF2B5EF4-FFF2-40B4-BE49-F238E27FC236}">
              <a16:creationId xmlns:a16="http://schemas.microsoft.com/office/drawing/2014/main" id="{B9448331-FFC9-492F-8416-F60AD3F74EA3}"/>
            </a:ext>
          </a:extLst>
        </xdr:cNvPr>
        <xdr:cNvSpPr/>
      </xdr:nvSpPr>
      <xdr:spPr>
        <a:xfrm>
          <a:off x="3243943" y="785587"/>
          <a:ext cx="1415143" cy="30117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547915</xdr:colOff>
      <xdr:row>4</xdr:row>
      <xdr:rowOff>76199</xdr:rowOff>
    </xdr:from>
    <xdr:to>
      <xdr:col>5</xdr:col>
      <xdr:colOff>139700</xdr:colOff>
      <xdr:row>6</xdr:row>
      <xdr:rowOff>14513</xdr:rowOff>
    </xdr:to>
    <xdr:sp macro="" textlink="">
      <xdr:nvSpPr>
        <xdr:cNvPr id="25" name="Rectangle: Rounded Corners 24">
          <a:extLst>
            <a:ext uri="{FF2B5EF4-FFF2-40B4-BE49-F238E27FC236}">
              <a16:creationId xmlns:a16="http://schemas.microsoft.com/office/drawing/2014/main" id="{7EF02BB9-EB15-4B53-B7D7-6068BA7DD6E3}"/>
            </a:ext>
          </a:extLst>
        </xdr:cNvPr>
        <xdr:cNvSpPr/>
      </xdr:nvSpPr>
      <xdr:spPr>
        <a:xfrm>
          <a:off x="1763486" y="801913"/>
          <a:ext cx="1415143" cy="30117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201387</xdr:colOff>
      <xdr:row>4</xdr:row>
      <xdr:rowOff>65316</xdr:rowOff>
    </xdr:from>
    <xdr:to>
      <xdr:col>12</xdr:col>
      <xdr:colOff>453571</xdr:colOff>
      <xdr:row>6</xdr:row>
      <xdr:rowOff>3630</xdr:rowOff>
    </xdr:to>
    <xdr:sp macro="" textlink="">
      <xdr:nvSpPr>
        <xdr:cNvPr id="26" name="Rectangle: Rounded Corners 25">
          <a:extLst>
            <a:ext uri="{FF2B5EF4-FFF2-40B4-BE49-F238E27FC236}">
              <a16:creationId xmlns:a16="http://schemas.microsoft.com/office/drawing/2014/main" id="{B5CB9CC8-DB6E-4756-A5B3-439C8293A357}"/>
            </a:ext>
          </a:extLst>
        </xdr:cNvPr>
        <xdr:cNvSpPr/>
      </xdr:nvSpPr>
      <xdr:spPr>
        <a:xfrm>
          <a:off x="6279244" y="791030"/>
          <a:ext cx="1467756" cy="30117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489856</xdr:colOff>
      <xdr:row>4</xdr:row>
      <xdr:rowOff>36287</xdr:rowOff>
    </xdr:from>
    <xdr:to>
      <xdr:col>15</xdr:col>
      <xdr:colOff>163285</xdr:colOff>
      <xdr:row>6</xdr:row>
      <xdr:rowOff>54430</xdr:rowOff>
    </xdr:to>
    <xdr:sp macro="" textlink="">
      <xdr:nvSpPr>
        <xdr:cNvPr id="27" name="Rectangle: Rounded Corners 26">
          <a:extLst>
            <a:ext uri="{FF2B5EF4-FFF2-40B4-BE49-F238E27FC236}">
              <a16:creationId xmlns:a16="http://schemas.microsoft.com/office/drawing/2014/main" id="{1CDC15F5-5645-49E6-A484-011B71501DA4}"/>
            </a:ext>
          </a:extLst>
        </xdr:cNvPr>
        <xdr:cNvSpPr/>
      </xdr:nvSpPr>
      <xdr:spPr>
        <a:xfrm>
          <a:off x="7783285" y="762001"/>
          <a:ext cx="1496786" cy="381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542472</xdr:colOff>
      <xdr:row>4</xdr:row>
      <xdr:rowOff>79829</xdr:rowOff>
    </xdr:from>
    <xdr:to>
      <xdr:col>10</xdr:col>
      <xdr:colOff>134258</xdr:colOff>
      <xdr:row>6</xdr:row>
      <xdr:rowOff>18143</xdr:rowOff>
    </xdr:to>
    <xdr:sp macro="" textlink="">
      <xdr:nvSpPr>
        <xdr:cNvPr id="28" name="Rectangle: Rounded Corners 27">
          <a:extLst>
            <a:ext uri="{FF2B5EF4-FFF2-40B4-BE49-F238E27FC236}">
              <a16:creationId xmlns:a16="http://schemas.microsoft.com/office/drawing/2014/main" id="{8CECDCBE-FEE2-4CB8-80D7-3E11A8637931}"/>
            </a:ext>
          </a:extLst>
        </xdr:cNvPr>
        <xdr:cNvSpPr/>
      </xdr:nvSpPr>
      <xdr:spPr>
        <a:xfrm>
          <a:off x="4796972" y="805543"/>
          <a:ext cx="1415143" cy="30117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308427</xdr:colOff>
      <xdr:row>6</xdr:row>
      <xdr:rowOff>9071</xdr:rowOff>
    </xdr:from>
    <xdr:to>
      <xdr:col>7</xdr:col>
      <xdr:colOff>390071</xdr:colOff>
      <xdr:row>8</xdr:row>
      <xdr:rowOff>72571</xdr:rowOff>
    </xdr:to>
    <xdr:sp macro="" textlink="Cards!C4:D4">
      <xdr:nvSpPr>
        <xdr:cNvPr id="29" name="Rectangle: Rounded Corners 28">
          <a:extLst>
            <a:ext uri="{FF2B5EF4-FFF2-40B4-BE49-F238E27FC236}">
              <a16:creationId xmlns:a16="http://schemas.microsoft.com/office/drawing/2014/main" id="{01D3246B-7046-4D0D-A7E9-E76D2C6BB317}"/>
            </a:ext>
          </a:extLst>
        </xdr:cNvPr>
        <xdr:cNvSpPr/>
      </xdr:nvSpPr>
      <xdr:spPr>
        <a:xfrm>
          <a:off x="3347356" y="1097642"/>
          <a:ext cx="1297215" cy="426358"/>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CC5B53-811C-44E4-9F38-ADDBA5AF2356}" type="TxLink">
            <a:rPr lang="en-US" sz="1100" b="0" i="0" u="none" strike="noStrike">
              <a:solidFill>
                <a:srgbClr val="000000"/>
              </a:solidFill>
              <a:latin typeface="Calibri"/>
              <a:ea typeface="Calibri"/>
              <a:cs typeface="Calibri"/>
            </a:rPr>
            <a:pPr algn="l"/>
            <a:t>₹ 4,717.38</a:t>
          </a:fld>
          <a:endParaRPr lang="en-IN" sz="1100"/>
        </a:p>
      </xdr:txBody>
    </xdr:sp>
    <xdr:clientData/>
  </xdr:twoCellAnchor>
  <xdr:twoCellAnchor>
    <xdr:from>
      <xdr:col>12</xdr:col>
      <xdr:colOff>578754</xdr:colOff>
      <xdr:row>6</xdr:row>
      <xdr:rowOff>7258</xdr:rowOff>
    </xdr:from>
    <xdr:to>
      <xdr:col>15</xdr:col>
      <xdr:colOff>52612</xdr:colOff>
      <xdr:row>8</xdr:row>
      <xdr:rowOff>70758</xdr:rowOff>
    </xdr:to>
    <xdr:sp macro="" textlink="Cards!F4:G4">
      <xdr:nvSpPr>
        <xdr:cNvPr id="30" name="Rectangle: Rounded Corners 29">
          <a:extLst>
            <a:ext uri="{FF2B5EF4-FFF2-40B4-BE49-F238E27FC236}">
              <a16:creationId xmlns:a16="http://schemas.microsoft.com/office/drawing/2014/main" id="{38FAFE75-CDD4-4A4C-BF8E-31664194729B}"/>
            </a:ext>
          </a:extLst>
        </xdr:cNvPr>
        <xdr:cNvSpPr/>
      </xdr:nvSpPr>
      <xdr:spPr>
        <a:xfrm>
          <a:off x="7872183" y="1095829"/>
          <a:ext cx="1297215" cy="426358"/>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705725-04DB-4521-BD81-2301BF77AB16}" type="TxLink">
            <a:rPr lang="en-US" sz="1100" b="0" i="0" u="none" strike="noStrike">
              <a:solidFill>
                <a:srgbClr val="000000"/>
              </a:solidFill>
              <a:latin typeface="Calibri"/>
              <a:ea typeface="Calibri"/>
              <a:cs typeface="Calibri"/>
            </a:rPr>
            <a:pPr algn="l"/>
            <a:t>6%</a:t>
          </a:fld>
          <a:endParaRPr lang="en-IN" sz="1100"/>
        </a:p>
      </xdr:txBody>
    </xdr:sp>
    <xdr:clientData/>
  </xdr:twoCellAnchor>
  <xdr:twoCellAnchor>
    <xdr:from>
      <xdr:col>15</xdr:col>
      <xdr:colOff>304800</xdr:colOff>
      <xdr:row>5</xdr:row>
      <xdr:rowOff>141515</xdr:rowOff>
    </xdr:from>
    <xdr:to>
      <xdr:col>17</xdr:col>
      <xdr:colOff>386444</xdr:colOff>
      <xdr:row>8</xdr:row>
      <xdr:rowOff>23587</xdr:rowOff>
    </xdr:to>
    <xdr:sp macro="" textlink="Cards!G4:H4">
      <xdr:nvSpPr>
        <xdr:cNvPr id="31" name="Rectangle: Rounded Corners 30">
          <a:extLst>
            <a:ext uri="{FF2B5EF4-FFF2-40B4-BE49-F238E27FC236}">
              <a16:creationId xmlns:a16="http://schemas.microsoft.com/office/drawing/2014/main" id="{E51C177D-A8EC-4826-B276-22520D731C32}"/>
            </a:ext>
          </a:extLst>
        </xdr:cNvPr>
        <xdr:cNvSpPr/>
      </xdr:nvSpPr>
      <xdr:spPr>
        <a:xfrm>
          <a:off x="9421586" y="1048658"/>
          <a:ext cx="1297215" cy="426358"/>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F3F0E6C-CAFA-4DE3-B692-DC24A1885E43}" type="TxLink">
            <a:rPr lang="en-US" sz="1100" b="0" i="0" u="none" strike="noStrike">
              <a:solidFill>
                <a:srgbClr val="000000"/>
              </a:solidFill>
              <a:latin typeface="Calibri"/>
              <a:ea typeface="Calibri"/>
              <a:cs typeface="Calibri"/>
            </a:rPr>
            <a:pPr algn="l"/>
            <a:t>4862</a:t>
          </a:fld>
          <a:endParaRPr lang="en-IN" sz="1100"/>
        </a:p>
      </xdr:txBody>
    </xdr:sp>
    <xdr:clientData/>
  </xdr:twoCellAnchor>
  <xdr:twoCellAnchor>
    <xdr:from>
      <xdr:col>10</xdr:col>
      <xdr:colOff>293915</xdr:colOff>
      <xdr:row>6</xdr:row>
      <xdr:rowOff>3629</xdr:rowOff>
    </xdr:from>
    <xdr:to>
      <xdr:col>12</xdr:col>
      <xdr:colOff>375558</xdr:colOff>
      <xdr:row>8</xdr:row>
      <xdr:rowOff>67129</xdr:rowOff>
    </xdr:to>
    <xdr:sp macro="" textlink="Cards!E4:F4">
      <xdr:nvSpPr>
        <xdr:cNvPr id="32" name="Rectangle: Rounded Corners 31">
          <a:extLst>
            <a:ext uri="{FF2B5EF4-FFF2-40B4-BE49-F238E27FC236}">
              <a16:creationId xmlns:a16="http://schemas.microsoft.com/office/drawing/2014/main" id="{1319169A-CF41-4064-AD63-433B979EFEC1}"/>
            </a:ext>
          </a:extLst>
        </xdr:cNvPr>
        <xdr:cNvSpPr/>
      </xdr:nvSpPr>
      <xdr:spPr>
        <a:xfrm>
          <a:off x="6371772" y="1092200"/>
          <a:ext cx="1297215" cy="426358"/>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D8AC82D-F57B-4979-ADD3-BE81D449B1FE}" type="TxLink">
            <a:rPr lang="en-US" sz="1100" b="0" i="0" u="none" strike="noStrike">
              <a:solidFill>
                <a:srgbClr val="000000"/>
              </a:solidFill>
              <a:latin typeface="Calibri"/>
              <a:ea typeface="Calibri"/>
              <a:cs typeface="Calibri"/>
            </a:rPr>
            <a:pPr algn="l"/>
            <a:t>₹ 53,96,779.25</a:t>
          </a:fld>
          <a:endParaRPr lang="en-IN" sz="1100"/>
        </a:p>
      </xdr:txBody>
    </xdr:sp>
    <xdr:clientData/>
  </xdr:twoCellAnchor>
  <xdr:twoCellAnchor>
    <xdr:from>
      <xdr:col>8</xdr:col>
      <xdr:colOff>1812</xdr:colOff>
      <xdr:row>5</xdr:row>
      <xdr:rowOff>174170</xdr:rowOff>
    </xdr:from>
    <xdr:to>
      <xdr:col>10</xdr:col>
      <xdr:colOff>83456</xdr:colOff>
      <xdr:row>8</xdr:row>
      <xdr:rowOff>56242</xdr:rowOff>
    </xdr:to>
    <xdr:sp macro="" textlink="Cards!D4:E4">
      <xdr:nvSpPr>
        <xdr:cNvPr id="33" name="Rectangle: Rounded Corners 32">
          <a:extLst>
            <a:ext uri="{FF2B5EF4-FFF2-40B4-BE49-F238E27FC236}">
              <a16:creationId xmlns:a16="http://schemas.microsoft.com/office/drawing/2014/main" id="{87C3C750-E3EE-42B1-B0F9-325A8D70C7FA}"/>
            </a:ext>
          </a:extLst>
        </xdr:cNvPr>
        <xdr:cNvSpPr/>
      </xdr:nvSpPr>
      <xdr:spPr>
        <a:xfrm>
          <a:off x="4864098" y="1081313"/>
          <a:ext cx="1297215" cy="426358"/>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BD8D5D-53F7-4094-BF74-ECDDEF15D9AD}" type="TxLink">
            <a:rPr lang="en-US" sz="1100" b="0" i="0" u="none" strike="noStrike">
              <a:solidFill>
                <a:srgbClr val="000000"/>
              </a:solidFill>
              <a:latin typeface="Calibri"/>
              <a:ea typeface="Calibri"/>
              <a:cs typeface="Calibri"/>
            </a:rPr>
            <a:pPr algn="l"/>
            <a:t>11</a:t>
          </a:fld>
          <a:endParaRPr lang="en-IN" sz="1100"/>
        </a:p>
      </xdr:txBody>
    </xdr:sp>
    <xdr:clientData/>
  </xdr:twoCellAnchor>
  <xdr:twoCellAnchor>
    <xdr:from>
      <xdr:col>15</xdr:col>
      <xdr:colOff>224970</xdr:colOff>
      <xdr:row>4</xdr:row>
      <xdr:rowOff>43544</xdr:rowOff>
    </xdr:from>
    <xdr:to>
      <xdr:col>17</xdr:col>
      <xdr:colOff>424542</xdr:colOff>
      <xdr:row>5</xdr:row>
      <xdr:rowOff>163286</xdr:rowOff>
    </xdr:to>
    <xdr:sp macro="" textlink="">
      <xdr:nvSpPr>
        <xdr:cNvPr id="34" name="Rectangle: Rounded Corners 33">
          <a:extLst>
            <a:ext uri="{FF2B5EF4-FFF2-40B4-BE49-F238E27FC236}">
              <a16:creationId xmlns:a16="http://schemas.microsoft.com/office/drawing/2014/main" id="{8FEA629C-13D3-433E-8EF4-14890B62FB19}"/>
            </a:ext>
          </a:extLst>
        </xdr:cNvPr>
        <xdr:cNvSpPr/>
      </xdr:nvSpPr>
      <xdr:spPr>
        <a:xfrm>
          <a:off x="9341756" y="769258"/>
          <a:ext cx="1415143" cy="30117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435429</xdr:colOff>
      <xdr:row>4</xdr:row>
      <xdr:rowOff>108857</xdr:rowOff>
    </xdr:from>
    <xdr:to>
      <xdr:col>2</xdr:col>
      <xdr:colOff>362858</xdr:colOff>
      <xdr:row>6</xdr:row>
      <xdr:rowOff>0</xdr:rowOff>
    </xdr:to>
    <xdr:sp macro="" textlink="">
      <xdr:nvSpPr>
        <xdr:cNvPr id="35" name="TextBox 34">
          <a:extLst>
            <a:ext uri="{FF2B5EF4-FFF2-40B4-BE49-F238E27FC236}">
              <a16:creationId xmlns:a16="http://schemas.microsoft.com/office/drawing/2014/main" id="{DFEEA056-CF89-BA3E-88B3-2F53DA752243}"/>
            </a:ext>
          </a:extLst>
        </xdr:cNvPr>
        <xdr:cNvSpPr txBox="1"/>
      </xdr:nvSpPr>
      <xdr:spPr>
        <a:xfrm>
          <a:off x="435429" y="834571"/>
          <a:ext cx="1143000" cy="2540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Total Suppliers</a:t>
          </a:r>
        </a:p>
      </xdr:txBody>
    </xdr:sp>
    <xdr:clientData/>
  </xdr:twoCellAnchor>
  <xdr:twoCellAnchor>
    <xdr:from>
      <xdr:col>3</xdr:col>
      <xdr:colOff>99787</xdr:colOff>
      <xdr:row>4</xdr:row>
      <xdr:rowOff>81643</xdr:rowOff>
    </xdr:from>
    <xdr:to>
      <xdr:col>5</xdr:col>
      <xdr:colOff>27215</xdr:colOff>
      <xdr:row>5</xdr:row>
      <xdr:rowOff>154214</xdr:rowOff>
    </xdr:to>
    <xdr:sp macro="" textlink="">
      <xdr:nvSpPr>
        <xdr:cNvPr id="37" name="TextBox 36">
          <a:extLst>
            <a:ext uri="{FF2B5EF4-FFF2-40B4-BE49-F238E27FC236}">
              <a16:creationId xmlns:a16="http://schemas.microsoft.com/office/drawing/2014/main" id="{E1A2C6C4-D2DB-464B-9A76-802771C6C4F7}"/>
            </a:ext>
          </a:extLst>
        </xdr:cNvPr>
        <xdr:cNvSpPr txBox="1"/>
      </xdr:nvSpPr>
      <xdr:spPr>
        <a:xfrm>
          <a:off x="1923144" y="807357"/>
          <a:ext cx="1143000" cy="2540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Total Quantity</a:t>
          </a:r>
        </a:p>
      </xdr:txBody>
    </xdr:sp>
    <xdr:clientData/>
  </xdr:twoCellAnchor>
  <xdr:twoCellAnchor>
    <xdr:from>
      <xdr:col>15</xdr:col>
      <xdr:colOff>244927</xdr:colOff>
      <xdr:row>4</xdr:row>
      <xdr:rowOff>54429</xdr:rowOff>
    </xdr:from>
    <xdr:to>
      <xdr:col>17</xdr:col>
      <xdr:colOff>480785</xdr:colOff>
      <xdr:row>5</xdr:row>
      <xdr:rowOff>134255</xdr:rowOff>
    </xdr:to>
    <xdr:sp macro="" textlink="">
      <xdr:nvSpPr>
        <xdr:cNvPr id="38" name="TextBox 37">
          <a:extLst>
            <a:ext uri="{FF2B5EF4-FFF2-40B4-BE49-F238E27FC236}">
              <a16:creationId xmlns:a16="http://schemas.microsoft.com/office/drawing/2014/main" id="{1002507C-BFE0-4D03-B45F-2C35ADFE754E}"/>
            </a:ext>
          </a:extLst>
        </xdr:cNvPr>
        <xdr:cNvSpPr txBox="1"/>
      </xdr:nvSpPr>
      <xdr:spPr>
        <a:xfrm>
          <a:off x="9361713" y="780143"/>
          <a:ext cx="1451429" cy="26125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Total Defective</a:t>
          </a:r>
          <a:r>
            <a:rPr lang="en-IN" sz="1200" b="1" baseline="0">
              <a:solidFill>
                <a:sysClr val="windowText" lastClr="000000"/>
              </a:solidFill>
            </a:rPr>
            <a:t> Unit</a:t>
          </a:r>
          <a:endParaRPr lang="en-IN" sz="1200" b="1">
            <a:solidFill>
              <a:sysClr val="windowText" lastClr="000000"/>
            </a:solidFill>
          </a:endParaRPr>
        </a:p>
      </xdr:txBody>
    </xdr:sp>
    <xdr:clientData/>
  </xdr:twoCellAnchor>
  <xdr:twoCellAnchor>
    <xdr:from>
      <xdr:col>12</xdr:col>
      <xdr:colOff>480786</xdr:colOff>
      <xdr:row>4</xdr:row>
      <xdr:rowOff>72571</xdr:rowOff>
    </xdr:from>
    <xdr:to>
      <xdr:col>15</xdr:col>
      <xdr:colOff>163286</xdr:colOff>
      <xdr:row>5</xdr:row>
      <xdr:rowOff>136071</xdr:rowOff>
    </xdr:to>
    <xdr:sp macro="" textlink="">
      <xdr:nvSpPr>
        <xdr:cNvPr id="39" name="TextBox 38">
          <a:extLst>
            <a:ext uri="{FF2B5EF4-FFF2-40B4-BE49-F238E27FC236}">
              <a16:creationId xmlns:a16="http://schemas.microsoft.com/office/drawing/2014/main" id="{0F9CBEF4-7535-491F-9C99-EC1F02C156CB}"/>
            </a:ext>
          </a:extLst>
        </xdr:cNvPr>
        <xdr:cNvSpPr txBox="1"/>
      </xdr:nvSpPr>
      <xdr:spPr>
        <a:xfrm>
          <a:off x="7774215" y="798285"/>
          <a:ext cx="1505857" cy="24492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Average</a:t>
          </a:r>
          <a:r>
            <a:rPr lang="en-IN" sz="1200" b="1" baseline="0">
              <a:solidFill>
                <a:sysClr val="windowText" lastClr="000000"/>
              </a:solidFill>
            </a:rPr>
            <a:t> Defect Rate</a:t>
          </a:r>
          <a:endParaRPr lang="en-IN" sz="1200" b="1">
            <a:solidFill>
              <a:sysClr val="windowText" lastClr="000000"/>
            </a:solidFill>
          </a:endParaRPr>
        </a:p>
      </xdr:txBody>
    </xdr:sp>
    <xdr:clientData/>
  </xdr:twoCellAnchor>
  <xdr:twoCellAnchor>
    <xdr:from>
      <xdr:col>10</xdr:col>
      <xdr:colOff>235857</xdr:colOff>
      <xdr:row>4</xdr:row>
      <xdr:rowOff>81643</xdr:rowOff>
    </xdr:from>
    <xdr:to>
      <xdr:col>12</xdr:col>
      <xdr:colOff>453571</xdr:colOff>
      <xdr:row>5</xdr:row>
      <xdr:rowOff>157842</xdr:rowOff>
    </xdr:to>
    <xdr:sp macro="" textlink="">
      <xdr:nvSpPr>
        <xdr:cNvPr id="40" name="TextBox 39">
          <a:extLst>
            <a:ext uri="{FF2B5EF4-FFF2-40B4-BE49-F238E27FC236}">
              <a16:creationId xmlns:a16="http://schemas.microsoft.com/office/drawing/2014/main" id="{ADA6735C-1A84-44BF-B04D-403D0477923B}"/>
            </a:ext>
          </a:extLst>
        </xdr:cNvPr>
        <xdr:cNvSpPr txBox="1"/>
      </xdr:nvSpPr>
      <xdr:spPr>
        <a:xfrm>
          <a:off x="6313714" y="807357"/>
          <a:ext cx="1433286" cy="257628"/>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Total Purchase</a:t>
          </a:r>
          <a:r>
            <a:rPr lang="en-IN" sz="1200" b="1" baseline="0">
              <a:solidFill>
                <a:sysClr val="windowText" lastClr="000000"/>
              </a:solidFill>
            </a:rPr>
            <a:t> Cost</a:t>
          </a:r>
          <a:endParaRPr lang="en-IN" sz="1200" b="1">
            <a:solidFill>
              <a:sysClr val="windowText" lastClr="000000"/>
            </a:solidFill>
          </a:endParaRPr>
        </a:p>
      </xdr:txBody>
    </xdr:sp>
    <xdr:clientData/>
  </xdr:twoCellAnchor>
  <xdr:twoCellAnchor>
    <xdr:from>
      <xdr:col>7</xdr:col>
      <xdr:colOff>571501</xdr:colOff>
      <xdr:row>4</xdr:row>
      <xdr:rowOff>108857</xdr:rowOff>
    </xdr:from>
    <xdr:to>
      <xdr:col>10</xdr:col>
      <xdr:colOff>127000</xdr:colOff>
      <xdr:row>5</xdr:row>
      <xdr:rowOff>156028</xdr:rowOff>
    </xdr:to>
    <xdr:sp macro="" textlink="">
      <xdr:nvSpPr>
        <xdr:cNvPr id="41" name="TextBox 40">
          <a:extLst>
            <a:ext uri="{FF2B5EF4-FFF2-40B4-BE49-F238E27FC236}">
              <a16:creationId xmlns:a16="http://schemas.microsoft.com/office/drawing/2014/main" id="{1DAE7FC2-5A3D-4A7E-B130-1D23C4905601}"/>
            </a:ext>
          </a:extLst>
        </xdr:cNvPr>
        <xdr:cNvSpPr txBox="1"/>
      </xdr:nvSpPr>
      <xdr:spPr>
        <a:xfrm>
          <a:off x="4826001" y="834571"/>
          <a:ext cx="1378856" cy="2286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Average</a:t>
          </a:r>
          <a:r>
            <a:rPr lang="en-IN" sz="1200" b="1" baseline="0">
              <a:solidFill>
                <a:sysClr val="windowText" lastClr="000000"/>
              </a:solidFill>
            </a:rPr>
            <a:t> Lead Days</a:t>
          </a:r>
          <a:endParaRPr lang="en-IN" sz="1200" b="1">
            <a:solidFill>
              <a:sysClr val="windowText" lastClr="000000"/>
            </a:solidFill>
          </a:endParaRPr>
        </a:p>
      </xdr:txBody>
    </xdr:sp>
    <xdr:clientData/>
  </xdr:twoCellAnchor>
  <xdr:twoCellAnchor>
    <xdr:from>
      <xdr:col>5</xdr:col>
      <xdr:colOff>326572</xdr:colOff>
      <xdr:row>4</xdr:row>
      <xdr:rowOff>72572</xdr:rowOff>
    </xdr:from>
    <xdr:to>
      <xdr:col>7</xdr:col>
      <xdr:colOff>362857</xdr:colOff>
      <xdr:row>5</xdr:row>
      <xdr:rowOff>154214</xdr:rowOff>
    </xdr:to>
    <xdr:sp macro="" textlink="">
      <xdr:nvSpPr>
        <xdr:cNvPr id="42" name="TextBox 41">
          <a:extLst>
            <a:ext uri="{FF2B5EF4-FFF2-40B4-BE49-F238E27FC236}">
              <a16:creationId xmlns:a16="http://schemas.microsoft.com/office/drawing/2014/main" id="{2C200E98-676E-4F74-A8EC-413C19E985DA}"/>
            </a:ext>
          </a:extLst>
        </xdr:cNvPr>
        <xdr:cNvSpPr txBox="1"/>
      </xdr:nvSpPr>
      <xdr:spPr>
        <a:xfrm>
          <a:off x="3365501" y="798286"/>
          <a:ext cx="1251856" cy="263071"/>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Total Unit</a:t>
          </a:r>
          <a:r>
            <a:rPr lang="en-IN" sz="1200" b="1" baseline="0">
              <a:solidFill>
                <a:sysClr val="windowText" lastClr="000000"/>
              </a:solidFill>
            </a:rPr>
            <a:t> Prices</a:t>
          </a:r>
          <a:endParaRPr lang="en-IN" sz="1200" b="1">
            <a:solidFill>
              <a:sysClr val="windowText" lastClr="000000"/>
            </a:solidFill>
          </a:endParaRPr>
        </a:p>
      </xdr:txBody>
    </xdr:sp>
    <xdr:clientData/>
  </xdr:twoCellAnchor>
  <xdr:twoCellAnchor editAs="oneCell">
    <xdr:from>
      <xdr:col>21</xdr:col>
      <xdr:colOff>220255</xdr:colOff>
      <xdr:row>4</xdr:row>
      <xdr:rowOff>125549</xdr:rowOff>
    </xdr:from>
    <xdr:to>
      <xdr:col>24</xdr:col>
      <xdr:colOff>225698</xdr:colOff>
      <xdr:row>18</xdr:row>
      <xdr:rowOff>52524</xdr:rowOff>
    </xdr:to>
    <mc:AlternateContent xmlns:mc="http://schemas.openxmlformats.org/markup-compatibility/2006" xmlns:a14="http://schemas.microsoft.com/office/drawing/2010/main">
      <mc:Choice Requires="a14">
        <xdr:graphicFrame macro="">
          <xdr:nvGraphicFramePr>
            <xdr:cNvPr id="44" name="Item_Category 1">
              <a:extLst>
                <a:ext uri="{FF2B5EF4-FFF2-40B4-BE49-F238E27FC236}">
                  <a16:creationId xmlns:a16="http://schemas.microsoft.com/office/drawing/2014/main" id="{07876A4F-95C8-4003-A5C0-6E067388A78F}"/>
                </a:ext>
              </a:extLst>
            </xdr:cNvPr>
            <xdr:cNvGraphicFramePr/>
          </xdr:nvGraphicFramePr>
          <xdr:xfrm>
            <a:off x="0" y="0"/>
            <a:ext cx="0" cy="0"/>
          </xdr:xfrm>
          <a:graphic>
            <a:graphicData uri="http://schemas.microsoft.com/office/drawing/2010/slicer">
              <sle:slicer xmlns:sle="http://schemas.microsoft.com/office/drawing/2010/slicer" name="Item_Category 1"/>
            </a:graphicData>
          </a:graphic>
        </xdr:graphicFrame>
      </mc:Choice>
      <mc:Fallback xmlns="">
        <xdr:sp macro="" textlink="">
          <xdr:nvSpPr>
            <xdr:cNvPr id="0" name=""/>
            <xdr:cNvSpPr>
              <a:spLocks noTextEdit="1"/>
            </xdr:cNvSpPr>
          </xdr:nvSpPr>
          <xdr:spPr>
            <a:xfrm>
              <a:off x="12983755" y="85126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63501</xdr:colOff>
      <xdr:row>4</xdr:row>
      <xdr:rowOff>134620</xdr:rowOff>
    </xdr:from>
    <xdr:to>
      <xdr:col>21</xdr:col>
      <xdr:colOff>68944</xdr:colOff>
      <xdr:row>18</xdr:row>
      <xdr:rowOff>61595</xdr:rowOff>
    </xdr:to>
    <mc:AlternateContent xmlns:mc="http://schemas.openxmlformats.org/markup-compatibility/2006" xmlns:a14="http://schemas.microsoft.com/office/drawing/2010/main">
      <mc:Choice Requires="a14">
        <xdr:graphicFrame macro="">
          <xdr:nvGraphicFramePr>
            <xdr:cNvPr id="45" name="Supplier 1">
              <a:extLst>
                <a:ext uri="{FF2B5EF4-FFF2-40B4-BE49-F238E27FC236}">
                  <a16:creationId xmlns:a16="http://schemas.microsoft.com/office/drawing/2014/main" id="{5D617504-DB39-4B35-86FC-E88BA3EEEFE5}"/>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11003644" y="8603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98698</xdr:colOff>
      <xdr:row>19</xdr:row>
      <xdr:rowOff>16690</xdr:rowOff>
    </xdr:from>
    <xdr:to>
      <xdr:col>21</xdr:col>
      <xdr:colOff>104141</xdr:colOff>
      <xdr:row>32</xdr:row>
      <xdr:rowOff>125094</xdr:rowOff>
    </xdr:to>
    <mc:AlternateContent xmlns:mc="http://schemas.openxmlformats.org/markup-compatibility/2006" xmlns:a14="http://schemas.microsoft.com/office/drawing/2010/main">
      <mc:Choice Requires="a14">
        <xdr:graphicFrame macro="">
          <xdr:nvGraphicFramePr>
            <xdr:cNvPr id="46" name="Month 3">
              <a:extLst>
                <a:ext uri="{FF2B5EF4-FFF2-40B4-BE49-F238E27FC236}">
                  <a16:creationId xmlns:a16="http://schemas.microsoft.com/office/drawing/2014/main" id="{CB5F4462-21F4-41FA-A011-6828EFB6FC1B}"/>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1038841" y="346383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240576</xdr:colOff>
      <xdr:row>19</xdr:row>
      <xdr:rowOff>27214</xdr:rowOff>
    </xdr:from>
    <xdr:to>
      <xdr:col>24</xdr:col>
      <xdr:colOff>246019</xdr:colOff>
      <xdr:row>32</xdr:row>
      <xdr:rowOff>135618</xdr:rowOff>
    </xdr:to>
    <mc:AlternateContent xmlns:mc="http://schemas.openxmlformats.org/markup-compatibility/2006" xmlns:a14="http://schemas.microsoft.com/office/drawing/2010/main">
      <mc:Choice Requires="a14">
        <xdr:graphicFrame macro="">
          <xdr:nvGraphicFramePr>
            <xdr:cNvPr id="47" name="Year 3">
              <a:extLst>
                <a:ext uri="{FF2B5EF4-FFF2-40B4-BE49-F238E27FC236}">
                  <a16:creationId xmlns:a16="http://schemas.microsoft.com/office/drawing/2014/main" id="{1170454C-2E82-4B71-9E97-E189FE901B86}"/>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3004076" y="347435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453571</xdr:colOff>
      <xdr:row>33</xdr:row>
      <xdr:rowOff>81642</xdr:rowOff>
    </xdr:from>
    <xdr:to>
      <xdr:col>9</xdr:col>
      <xdr:colOff>417286</xdr:colOff>
      <xdr:row>55</xdr:row>
      <xdr:rowOff>72572</xdr:rowOff>
    </xdr:to>
    <xdr:graphicFrame macro="">
      <xdr:nvGraphicFramePr>
        <xdr:cNvPr id="4" name="Chart 11">
          <a:extLst>
            <a:ext uri="{FF2B5EF4-FFF2-40B4-BE49-F238E27FC236}">
              <a16:creationId xmlns:a16="http://schemas.microsoft.com/office/drawing/2014/main" id="{EC0D73FD-529A-462F-A31B-19CA368E9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353786</xdr:colOff>
      <xdr:row>33</xdr:row>
      <xdr:rowOff>154214</xdr:rowOff>
    </xdr:from>
    <xdr:to>
      <xdr:col>20</xdr:col>
      <xdr:colOff>136072</xdr:colOff>
      <xdr:row>55</xdr:row>
      <xdr:rowOff>72572</xdr:rowOff>
    </xdr:to>
    <xdr:graphicFrame macro="">
      <xdr:nvGraphicFramePr>
        <xdr:cNvPr id="5" name="Chart 4">
          <a:extLst>
            <a:ext uri="{FF2B5EF4-FFF2-40B4-BE49-F238E27FC236}">
              <a16:creationId xmlns:a16="http://schemas.microsoft.com/office/drawing/2014/main" id="{15054C37-F24F-49E2-92C1-A175F592F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425116</xdr:colOff>
      <xdr:row>56</xdr:row>
      <xdr:rowOff>72189</xdr:rowOff>
    </xdr:from>
    <xdr:to>
      <xdr:col>11</xdr:col>
      <xdr:colOff>36496</xdr:colOff>
      <xdr:row>76</xdr:row>
      <xdr:rowOff>158215</xdr:rowOff>
    </xdr:to>
    <xdr:graphicFrame macro="">
      <xdr:nvGraphicFramePr>
        <xdr:cNvPr id="6" name="Chart 5">
          <a:extLst>
            <a:ext uri="{FF2B5EF4-FFF2-40B4-BE49-F238E27FC236}">
              <a16:creationId xmlns:a16="http://schemas.microsoft.com/office/drawing/2014/main" id="{AE729ADD-DCE0-4119-8BEC-1F37E70E4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192505</xdr:colOff>
      <xdr:row>56</xdr:row>
      <xdr:rowOff>72189</xdr:rowOff>
    </xdr:from>
    <xdr:to>
      <xdr:col>20</xdr:col>
      <xdr:colOff>473242</xdr:colOff>
      <xdr:row>77</xdr:row>
      <xdr:rowOff>56147</xdr:rowOff>
    </xdr:to>
    <xdr:graphicFrame macro="">
      <xdr:nvGraphicFramePr>
        <xdr:cNvPr id="7" name="Chart 6">
          <a:extLst>
            <a:ext uri="{FF2B5EF4-FFF2-40B4-BE49-F238E27FC236}">
              <a16:creationId xmlns:a16="http://schemas.microsoft.com/office/drawing/2014/main" id="{F6BB632D-EA85-46F7-A63D-0E24AA0D8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79</xdr:row>
      <xdr:rowOff>0</xdr:rowOff>
    </xdr:from>
    <xdr:to>
      <xdr:col>11</xdr:col>
      <xdr:colOff>396240</xdr:colOff>
      <xdr:row>97</xdr:row>
      <xdr:rowOff>157815</xdr:rowOff>
    </xdr:to>
    <xdr:graphicFrame macro="">
      <xdr:nvGraphicFramePr>
        <xdr:cNvPr id="10" name="Chart 9">
          <a:extLst>
            <a:ext uri="{FF2B5EF4-FFF2-40B4-BE49-F238E27FC236}">
              <a16:creationId xmlns:a16="http://schemas.microsoft.com/office/drawing/2014/main" id="{2BD1E103-19E9-400C-BD75-0EA66306E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xdr:row>
      <xdr:rowOff>0</xdr:rowOff>
    </xdr:from>
    <xdr:to>
      <xdr:col>16</xdr:col>
      <xdr:colOff>288758</xdr:colOff>
      <xdr:row>31</xdr:row>
      <xdr:rowOff>170447</xdr:rowOff>
    </xdr:to>
    <xdr:graphicFrame macro="">
      <xdr:nvGraphicFramePr>
        <xdr:cNvPr id="12" name="Chart 11">
          <a:extLst>
            <a:ext uri="{FF2B5EF4-FFF2-40B4-BE49-F238E27FC236}">
              <a16:creationId xmlns:a16="http://schemas.microsoft.com/office/drawing/2014/main" id="{E552D243-2CAC-40E2-9ED2-72D6A9539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6.369422569442" backgroundQuery="1" createdVersion="8" refreshedVersion="8" minRefreshableVersion="3" recordCount="0" supportSubquery="1" supportAdvancedDrill="1" xr:uid="{2483C3FD-5AE2-46DA-8FEF-E3AD25438FDA}">
  <cacheSource type="external" connectionId="1"/>
  <cacheFields count="5">
    <cacheField name="[Table1].[Supplier].[Supplier]" caption="Supplier" numFmtId="0" level="1">
      <sharedItems count="5">
        <s v="Alpha Inc"/>
        <s v="Beta Supplies"/>
        <s v="Delta Logistics"/>
        <s v="Epsilon Group"/>
        <s v="Gamma Co"/>
      </sharedItems>
    </cacheField>
    <cacheField name="[Table1].[Month].[Month]" caption="Month" numFmtId="0" hierarchy="10" level="1">
      <sharedItems count="12">
        <s v="April"/>
        <s v="August"/>
        <s v="December"/>
        <s v="January"/>
        <s v="July"/>
        <s v="June"/>
        <s v="March"/>
        <s v="May"/>
        <s v="October"/>
        <s v="September"/>
        <s v="February"/>
        <s v="November"/>
      </sharedItems>
    </cacheField>
    <cacheField name="[Table1].[Year].[Year]" caption="Year" numFmtId="0" hierarchy="11" level="1">
      <sharedItems count="1">
        <s v="2023"/>
      </sharedItems>
    </cacheField>
    <cacheField name="[Table1].[Item_Category].[Item_Category]" caption="Item_Category" numFmtId="0" hierarchy="3" level="1">
      <sharedItems count="1">
        <s v="MRO"/>
      </sharedItems>
    </cacheField>
    <cacheField name="[Measures].[Sum of Unit_Price]" caption="Sum of Unit_Price" numFmtId="0" hierarchy="17" level="32767"/>
  </cacheFields>
  <cacheHierarchies count="25">
    <cacheHierarchy uniqueName="[Table1].[Supplier]" caption="Supplier" attribute="1" defaultMemberUniqueName="[Table1].[Supplier].[All]" allUniqueName="[Table1].[Supplier].[All]" dimensionUniqueName="[Table1]" displayFolder="" count="2" memberValueDatatype="130" unbalanced="0">
      <fieldsUsage count="2">
        <fieldUsage x="-1"/>
        <fieldUsage x="0"/>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hidden="1">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6.369422916665" backgroundQuery="1" createdVersion="8" refreshedVersion="8" minRefreshableVersion="3" recordCount="0" supportSubquery="1" supportAdvancedDrill="1" xr:uid="{D9D1DD42-7C61-4550-AC94-C87DEA5E9861}">
  <cacheSource type="external" connectionId="1"/>
  <cacheFields count="9">
    <cacheField name="[Measures].[Distinct Count of Supplier]" caption="Distinct Count of Supplier" numFmtId="0" hierarchy="15" level="32767"/>
    <cacheField name="[Measures].[Sum of Quantity]" caption="Sum of Quantity" numFmtId="0" hierarchy="16" level="32767"/>
    <cacheField name="[Measures].[Sum of Unit_Price]" caption="Sum of Unit_Price" numFmtId="0" hierarchy="17" level="32767"/>
    <cacheField name="[Measures].[Sum of Total Cost]" caption="Sum of Total Cost" numFmtId="0" hierarchy="19" level="32767"/>
    <cacheField name="[Measures].[Average of Defect Rate]" caption="Average of Defect Rate" numFmtId="0" hierarchy="21" level="32767"/>
    <cacheField name="[Measures].[Average of Lead  Days]" caption="Average of Lead  Days" numFmtId="0" hierarchy="22" level="32767"/>
    <cacheField name="[Measures].[Sum of Defective_Units]" caption="Sum of Defective_Units" numFmtId="0" hierarchy="23" level="32767"/>
    <cacheField name="[Table1].[Year].[Year]" caption="Year" numFmtId="0" hierarchy="11" level="1">
      <sharedItems containsSemiMixedTypes="0" containsNonDate="0" containsString="0"/>
    </cacheField>
    <cacheField name="[Table1].[Item_Category].[Item_Category]" caption="Item_Category" numFmtId="0" hierarchy="3" level="1">
      <sharedItems containsSemiMixedTypes="0" containsNonDate="0" containsString="0"/>
    </cacheField>
  </cacheFields>
  <cacheHierarchies count="25">
    <cacheHierarchy uniqueName="[Table1].[Supplier]" caption="Supplier" attribute="1" defaultMemberUniqueName="[Table1].[Supplier].[All]" allUniqueName="[Table1].[Supplier].[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fieldsUsage count="2">
        <fieldUsage x="-1"/>
        <fieldUsage x="8"/>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7"/>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oneField="1" hidden="1">
      <fieldsUsage count="1">
        <fieldUsage x="4"/>
      </fieldsUsage>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oneField="1" hidden="1">
      <fieldsUsage count="1">
        <fieldUsage x="6"/>
      </fieldsUsage>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6.369423379627" backgroundQuery="1" createdVersion="8" refreshedVersion="8" minRefreshableVersion="3" recordCount="0" supportSubquery="1" supportAdvancedDrill="1" xr:uid="{5DCEC9B9-5C86-42C6-AC06-C71A8630C7A9}">
  <cacheSource type="external" connectionId="1"/>
  <cacheFields count="4">
    <cacheField name="[Table1].[Supplier].[Supplier]" caption="Supplier" numFmtId="0" level="1">
      <sharedItems count="5">
        <s v="Alpha Inc"/>
        <s v="Beta Supplies"/>
        <s v="Delta Logistics"/>
        <s v="Epsilon Group"/>
        <s v="Gamma Co"/>
      </sharedItems>
    </cacheField>
    <cacheField name="[Measures].[Average of Unit_Price]" caption="Average of Unit_Price" numFmtId="0" hierarchy="24" level="32767"/>
    <cacheField name="[Table1].[Item_Category].[Item_Category]" caption="Item_Category" numFmtId="0" hierarchy="3" level="1">
      <sharedItems count="5">
        <s v="MRO"/>
        <s v="Electronics" u="1"/>
        <s v="Office Supplies" u="1"/>
        <s v="Raw Materials" u="1"/>
        <s v="Packaging" u="1"/>
      </sharedItems>
    </cacheField>
    <cacheField name="[Table1].[Year].[Year]" caption="Year" numFmtId="0" hierarchy="11" level="1">
      <sharedItems count="3">
        <s v="2023"/>
        <s v="2022" u="1"/>
        <s v="2024" u="1"/>
      </sharedItems>
    </cacheField>
  </cacheFields>
  <cacheHierarchies count="25">
    <cacheHierarchy uniqueName="[Table1].[Supplier]" caption="Supplier" attribute="1" defaultMemberUniqueName="[Table1].[Supplier].[All]" allUniqueName="[Table1].[Supplier].[All]" dimensionUniqueName="[Table1]" displayFolder="" count="2" memberValueDatatype="130" unbalanced="0">
      <fieldsUsage count="2">
        <fieldUsage x="-1"/>
        <fieldUsage x="0"/>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hidden="1">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6.369423842596" backgroundQuery="1" createdVersion="8" refreshedVersion="8" minRefreshableVersion="3" recordCount="0" supportSubquery="1" supportAdvancedDrill="1" xr:uid="{57475359-0C0B-48ED-9118-BA5910CCE5E8}">
  <cacheSource type="external" connectionId="1"/>
  <cacheFields count="4">
    <cacheField name="[Table1].[Supplier].[Supplier]" caption="Supplier" numFmtId="0" level="1">
      <sharedItems count="5">
        <s v="Alpha Inc"/>
        <s v="Beta Supplies"/>
        <s v="Delta Logistics"/>
        <s v="Epsilon Group"/>
        <s v="Gamma Co"/>
      </sharedItems>
    </cacheField>
    <cacheField name="[Measures].[Average of Lead  Days]" caption="Average of Lead  Days" numFmtId="0" hierarchy="22" level="32767"/>
    <cacheField name="[Table1].[Year].[Year]" caption="Year" numFmtId="0" hierarchy="11" level="1">
      <sharedItems count="3">
        <s v="2023"/>
        <s v="2022" u="1"/>
        <s v="2024" u="1"/>
      </sharedItems>
    </cacheField>
    <cacheField name="[Table1].[Item_Category].[Item_Category]" caption="Item_Category" numFmtId="0" hierarchy="3" level="1">
      <sharedItems containsSemiMixedTypes="0" containsNonDate="0" containsString="0"/>
    </cacheField>
  </cacheFields>
  <cacheHierarchies count="25">
    <cacheHierarchy uniqueName="[Table1].[Supplier]" caption="Supplier" attribute="1" defaultMemberUniqueName="[Table1].[Supplier].[All]" allUniqueName="[Table1].[Supplier].[All]" dimensionUniqueName="[Table1]" displayFolder="" count="2" memberValueDatatype="130" unbalanced="0">
      <fieldsUsage count="2">
        <fieldUsage x="-1"/>
        <fieldUsage x="0"/>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hidden="1">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6.369424305558" backgroundQuery="1" createdVersion="8" refreshedVersion="8" minRefreshableVersion="3" recordCount="0" supportSubquery="1" supportAdvancedDrill="1" xr:uid="{DFCB30E7-6F93-4251-B36B-781491CD56EE}">
  <cacheSource type="external" connectionId="1"/>
  <cacheFields count="6">
    <cacheField name="[Table1].[Supplier].[Supplier]" caption="Supplier" numFmtId="0" level="1">
      <sharedItems count="5">
        <s v="Alpha Inc"/>
        <s v="Beta Supplies"/>
        <s v="Delta Logistics"/>
        <s v="Epsilon Group"/>
        <s v="Gamma Co"/>
      </sharedItems>
    </cacheField>
    <cacheField name="[Measures].[Average of Lead  Days]" caption="Average of Lead  Days" numFmtId="0" hierarchy="22" level="32767"/>
    <cacheField name="[Measures].[Average of Defect Rate]" caption="Average of Defect Rate" numFmtId="0" hierarchy="21" level="32767"/>
    <cacheField name="[Measures].[Average of Unit_Price]" caption="Average of Unit_Price" numFmtId="0" hierarchy="24" level="32767"/>
    <cacheField name="[Table1].[Year].[Year]" caption="Year" numFmtId="0" hierarchy="11" level="1">
      <sharedItems containsSemiMixedTypes="0" containsNonDate="0" containsString="0"/>
    </cacheField>
    <cacheField name="[Table1].[Item_Category].[Item_Category]" caption="Item_Category" numFmtId="0" hierarchy="3" level="1">
      <sharedItems containsSemiMixedTypes="0" containsNonDate="0" containsString="0"/>
    </cacheField>
  </cacheFields>
  <cacheHierarchies count="25">
    <cacheHierarchy uniqueName="[Table1].[Supplier]" caption="Supplier" attribute="1" defaultMemberUniqueName="[Table1].[Supplier].[All]" allUniqueName="[Table1].[Supplier].[All]" dimensionUniqueName="[Table1]" displayFolder="" count="2" memberValueDatatype="130" unbalanced="0">
      <fieldsUsage count="2">
        <fieldUsage x="-1"/>
        <fieldUsage x="0"/>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fieldsUsage count="2">
        <fieldUsage x="-1"/>
        <fieldUsage x="5"/>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4"/>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hidden="1">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6.36942476852" backgroundQuery="1" createdVersion="8" refreshedVersion="8" minRefreshableVersion="3" recordCount="0" supportSubquery="1" supportAdvancedDrill="1" xr:uid="{8FC75A07-A905-4239-B1AE-46D39D095C9E}">
  <cacheSource type="external" connectionId="1"/>
  <cacheFields count="5">
    <cacheField name="[Table1].[Supplier].[Supplier]" caption="Supplier" numFmtId="0" level="1">
      <sharedItems count="5">
        <s v="Alpha Inc"/>
        <s v="Beta Supplies"/>
        <s v="Delta Logistics"/>
        <s v="Epsilon Group"/>
        <s v="Gamma Co"/>
      </sharedItems>
    </cacheField>
    <cacheField name="[Table1].[Month].[Month]" caption="Month" numFmtId="0" hierarchy="10" level="1">
      <sharedItems count="12">
        <s v="April"/>
        <s v="August"/>
        <s v="December"/>
        <s v="February"/>
        <s v="January"/>
        <s v="July"/>
        <s v="June"/>
        <s v="March"/>
        <s v="May"/>
        <s v="November"/>
        <s v="October"/>
        <s v="September"/>
      </sharedItems>
    </cacheField>
    <cacheField name="[Measures].[Sum of Total Cost]" caption="Sum of Total Cost" numFmtId="0" hierarchy="19" level="32767"/>
    <cacheField name="[Table1].[Year].[Year]" caption="Year" numFmtId="0" hierarchy="11" level="1">
      <sharedItems count="3">
        <s v="2023"/>
        <s v="2022" u="1"/>
        <s v="2024" u="1"/>
      </sharedItems>
    </cacheField>
    <cacheField name="[Table1].[Item_Category].[Item_Category]" caption="Item_Category" numFmtId="0" hierarchy="3" level="1">
      <sharedItems containsSemiMixedTypes="0" containsNonDate="0" containsString="0"/>
    </cacheField>
  </cacheFields>
  <cacheHierarchies count="25">
    <cacheHierarchy uniqueName="[Table1].[Supplier]" caption="Supplier" attribute="1" defaultMemberUniqueName="[Table1].[Supplier].[All]" allUniqueName="[Table1].[Supplier].[All]" dimensionUniqueName="[Table1]" displayFolder="" count="2" memberValueDatatype="130" unbalanced="0">
      <fieldsUsage count="2">
        <fieldUsage x="-1"/>
        <fieldUsage x="0"/>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6.36942534722" backgroundQuery="1" createdVersion="8" refreshedVersion="8" minRefreshableVersion="3" recordCount="0" supportSubquery="1" supportAdvancedDrill="1" xr:uid="{AE6EF7B6-A169-4863-A72A-A488DCE6AB46}">
  <cacheSource type="external" connectionId="1"/>
  <cacheFields count="5">
    <cacheField name="[Table1].[Supplier].[Supplier]" caption="Supplier" numFmtId="0" level="1">
      <sharedItems count="5">
        <s v="Alpha Inc"/>
        <s v="Beta Supplies"/>
        <s v="Delta Logistics"/>
        <s v="Epsilon Group"/>
        <s v="Gamma Co"/>
      </sharedItems>
    </cacheField>
    <cacheField name="[Table1].[Month].[Month]" caption="Month" numFmtId="0" hierarchy="10" level="1">
      <sharedItems count="12">
        <s v="April"/>
        <s v="August"/>
        <s v="December"/>
        <s v="January"/>
        <s v="July"/>
        <s v="June"/>
        <s v="March"/>
        <s v="May"/>
        <s v="October"/>
        <s v="September"/>
        <s v="February"/>
        <s v="November"/>
      </sharedItems>
    </cacheField>
    <cacheField name="[Measures].[Average of Lead  Days]" caption="Average of Lead  Days" numFmtId="0" hierarchy="22" level="32767"/>
    <cacheField name="[Table1].[Year].[Year]" caption="Year" numFmtId="0" hierarchy="11" level="1">
      <sharedItems count="3">
        <s v="2023"/>
        <s v="2022" u="1"/>
        <s v="2024" u="1"/>
      </sharedItems>
    </cacheField>
    <cacheField name="[Table1].[Item_Category].[Item_Category]" caption="Item_Category" numFmtId="0" hierarchy="3" level="1">
      <sharedItems containsSemiMixedTypes="0" containsNonDate="0" containsString="0"/>
    </cacheField>
  </cacheFields>
  <cacheHierarchies count="25">
    <cacheHierarchy uniqueName="[Table1].[Supplier]" caption="Supplier" attribute="1" defaultMemberUniqueName="[Table1].[Supplier].[All]" allUniqueName="[Table1].[Supplier].[All]" dimensionUniqueName="[Table1]" displayFolder="" count="2" memberValueDatatype="130" unbalanced="0">
      <fieldsUsage count="2">
        <fieldUsage x="-1"/>
        <fieldUsage x="0"/>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hidden="1">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6.369425925928" backgroundQuery="1" createdVersion="8" refreshedVersion="8" minRefreshableVersion="3" recordCount="0" supportSubquery="1" supportAdvancedDrill="1" xr:uid="{03F18A81-02FE-47D6-9F5A-55EE22BB69FF}">
  <cacheSource type="external" connectionId="1"/>
  <cacheFields count="5">
    <cacheField name="[Table1].[Month].[Month]" caption="Month" numFmtId="0" hierarchy="10" level="1">
      <sharedItems count="12">
        <s v="April"/>
        <s v="August"/>
        <s v="December"/>
        <s v="January"/>
        <s v="July"/>
        <s v="June"/>
        <s v="March"/>
        <s v="May"/>
        <s v="October"/>
        <s v="September"/>
        <s v="February"/>
        <s v="November"/>
      </sharedItems>
    </cacheField>
    <cacheField name="[Table1].[Supplier].[Supplier]" caption="Supplier" numFmtId="0" level="1">
      <sharedItems count="5">
        <s v="Alpha Inc"/>
        <s v="Beta Supplies"/>
        <s v="Delta Logistics"/>
        <s v="Epsilon Group"/>
        <s v="Gamma Co"/>
      </sharedItems>
    </cacheField>
    <cacheField name="[Measures].[Average of Defect Rate]" caption="Average of Defect Rate" numFmtId="0" hierarchy="21" level="32767"/>
    <cacheField name="[Table1].[Year].[Year]" caption="Year" numFmtId="0" hierarchy="11" level="1">
      <sharedItems containsSemiMixedTypes="0" containsNonDate="0" containsString="0"/>
    </cacheField>
    <cacheField name="[Table1].[Item_Category].[Item_Category]" caption="Item_Category" numFmtId="0" hierarchy="3" level="1">
      <sharedItems containsSemiMixedTypes="0" containsNonDate="0" containsString="0"/>
    </cacheField>
  </cacheFields>
  <cacheHierarchies count="25">
    <cacheHierarchy uniqueName="[Table1].[Supplier]" caption="Supplier" attribute="1" defaultMemberUniqueName="[Table1].[Supplier].[All]" allUniqueName="[Table1].[Supplier].[All]" dimensionUniqueName="[Table1]" displayFolder="" count="2" memberValueDatatype="130" unbalanced="0">
      <fieldsUsage count="2">
        <fieldUsage x="-1"/>
        <fieldUsage x="1"/>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hidden="1">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ash S" refreshedDate="46225.478636111111" backgroundQuery="1" createdVersion="3" refreshedVersion="8" minRefreshableVersion="3" recordCount="0" supportSubquery="1" supportAdvancedDrill="1" xr:uid="{280A3475-AAD5-48A0-A60D-7B70A3E32839}">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Supplier]" caption="Supplier" attribute="1" defaultMemberUniqueName="[Table1].[Supplier].[All]" allUniqueName="[Table1].[Supplier].[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Lead  Days]" caption="Lead  Days" attribute="1" defaultMemberUniqueName="[Table1].[Lead  Days].[All]" allUniqueName="[Table1].[Lead  Days].[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Defect Rate]" caption="Defect Rate" attribute="1" defaultMemberUniqueName="[Table1].[Defect Rate].[All]" allUniqueName="[Table1].[Defect 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upplier]" caption="Count of Supplier" measure="1" displayFolder="" measureGroup="Table1" count="0" hidden="1">
      <extLst>
        <ext xmlns:x15="http://schemas.microsoft.com/office/spreadsheetml/2010/11/main" uri="{B97F6D7D-B522-45F9-BDA1-12C45D357490}">
          <x15:cacheHierarchy aggregatedColumn="0"/>
        </ext>
      </extLst>
    </cacheHierarchy>
    <cacheHierarchy uniqueName="[Measures].[Distinct Count of Supplier]" caption="Distinct Count of Supplier"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5"/>
        </ext>
      </extLst>
    </cacheHierarchy>
    <cacheHierarchy uniqueName="[Measures].[Sum of Lead  Days]" caption="Sum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Total Cost]" caption="Sum of Total Cost" measure="1" displayFolder="" measureGroup="Table1" count="0" hidden="1">
      <extLst>
        <ext xmlns:x15="http://schemas.microsoft.com/office/spreadsheetml/2010/11/main" uri="{B97F6D7D-B522-45F9-BDA1-12C45D357490}">
          <x15:cacheHierarchy aggregatedColumn="8"/>
        </ext>
      </extLst>
    </cacheHierarchy>
    <cacheHierarchy uniqueName="[Measures].[Sum of Defect Rate]" caption="Sum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Defect Rate]" caption="Average of Defect Rate" measure="1" displayFolder="" measureGroup="Table1" count="0" hidden="1">
      <extLst>
        <ext xmlns:x15="http://schemas.microsoft.com/office/spreadsheetml/2010/11/main" uri="{B97F6D7D-B522-45F9-BDA1-12C45D357490}">
          <x15:cacheHierarchy aggregatedColumn="9"/>
        </ext>
      </extLst>
    </cacheHierarchy>
    <cacheHierarchy uniqueName="[Measures].[Average of Lead  Days]" caption="Average of Lead  Days" measure="1" displayFolder="" measureGroup="Table1" count="0" hidden="1">
      <extLst>
        <ext xmlns:x15="http://schemas.microsoft.com/office/spreadsheetml/2010/11/main" uri="{B97F6D7D-B522-45F9-BDA1-12C45D357490}">
          <x15:cacheHierarchy aggregatedColumn="7"/>
        </ext>
      </extLst>
    </cacheHierarchy>
    <cacheHierarchy uniqueName="[Measures].[Sum of Defective_Units]" caption="Sum of Defective_Units" measure="1" displayFolder="" measureGroup="Table1"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9693938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A52CFC-34B3-4873-87A7-640F9CE66892}" name="PivotTable6" cacheId="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G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Distinct Count of Supplier" fld="0" subtotal="count" baseField="0" baseItem="0">
      <extLst>
        <ext xmlns:x15="http://schemas.microsoft.com/office/spreadsheetml/2010/11/main" uri="{FABC7310-3BB5-11E1-824E-6D434824019B}">
          <x15:dataField isCountDistinct="1"/>
        </ext>
      </extLst>
    </dataField>
    <dataField name="Sum of Quantity" fld="1" baseField="0" baseItem="0"/>
    <dataField name="Sum of Unit_Price" fld="2" baseField="0" baseItem="0" numFmtId="165"/>
    <dataField name="Average of Lead  Days" fld="5" subtotal="average" baseField="0" baseItem="3" numFmtId="1"/>
    <dataField name="Sum of Total Cost" fld="3" baseField="0" baseItem="0" numFmtId="165"/>
    <dataField name="Average of Defect Rate" fld="4" subtotal="average" baseField="0" baseItem="5" numFmtId="9"/>
    <dataField name="Sum of Defective_Units" fld="6" baseField="0" baseItem="0"/>
  </dataFields>
  <formats count="4">
    <format dxfId="163">
      <pivotArea outline="0" collapsedLevelsAreSubtotals="1" fieldPosition="0">
        <references count="1">
          <reference field="4294967294" count="1" selected="0">
            <x v="5"/>
          </reference>
        </references>
      </pivotArea>
    </format>
    <format dxfId="162">
      <pivotArea outline="0" collapsedLevelsAreSubtotals="1" fieldPosition="0">
        <references count="1">
          <reference field="4294967294" count="1" selected="0">
            <x v="2"/>
          </reference>
        </references>
      </pivotArea>
    </format>
    <format dxfId="161">
      <pivotArea outline="0" collapsedLevelsAreSubtotals="1" fieldPosition="0">
        <references count="1">
          <reference field="4294967294" count="1" selected="0">
            <x v="4"/>
          </reference>
        </references>
      </pivotArea>
    </format>
    <format dxfId="160">
      <pivotArea outline="0" collapsedLevelsAreSubtotals="1" fieldPosition="0">
        <references count="1">
          <reference field="4294967294" count="1" selected="0">
            <x v="3"/>
          </reference>
        </references>
      </pivotArea>
    </format>
  </formats>
  <pivotHierarchies count="25">
    <pivotHierarchy multipleItemSelectionAllowed="1" dragToData="1"/>
    <pivotHierarchy dragToData="1"/>
    <pivotHierarchy dragToData="1"/>
    <pivotHierarchy multipleItemSelectionAllowed="1" dragToData="1">
      <members count="1" level="1">
        <member name="[Table1].[Item_Category].&amp;[MRO]"/>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1].[Year].&amp;[2023]"/>
      </members>
    </pivotHierarchy>
    <pivotHierarchy dragToRow="0" dragToCol="0" dragToPage="0" dragToData="1"/>
    <pivotHierarchy dragToRow="0" dragToCol="0" dragToPage="0" dragToData="1"/>
    <pivotHierarchy dragToData="1"/>
    <pivotHierarchy dragToData="1" caption="Distinct Count of Supplier"/>
    <pivotHierarchy dragToData="1"/>
    <pivotHierarchy dragToData="1"/>
    <pivotHierarchy dragToData="1"/>
    <pivotHierarchy dragToData="1"/>
    <pivotHierarchy dragToData="1"/>
    <pivotHierarchy dragToData="1" caption="Average of Defect Rate"/>
    <pivotHierarchy dragToData="1" caption="Average of Lead  Days"/>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endor Cos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16ED0F-514E-4ACF-9210-C962130AC896}" name="PivotTable3"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V54:Y60" firstHeaderRow="0" firstDataRow="1" firstDataCol="1"/>
  <pivotFields count="6">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4"/>
    </i>
    <i>
      <x v="1"/>
    </i>
    <i>
      <x v="2"/>
    </i>
    <i>
      <x v="3"/>
    </i>
    <i t="grand">
      <x/>
    </i>
  </rowItems>
  <colFields count="1">
    <field x="-2"/>
  </colFields>
  <colItems count="3">
    <i>
      <x/>
    </i>
    <i i="1">
      <x v="1"/>
    </i>
    <i i="2">
      <x v="2"/>
    </i>
  </colItems>
  <dataFields count="3">
    <dataField name="Average of Lead  Days" fld="1" subtotal="average" baseField="0" baseItem="0" numFmtId="2"/>
    <dataField name="Average of Defect Rate" fld="2" subtotal="average" baseField="0" baseItem="0" numFmtId="9"/>
    <dataField name="Average of Unit_Price" fld="3" subtotal="average" baseField="0" baseItem="0"/>
  </dataFields>
  <formats count="3">
    <format dxfId="125">
      <pivotArea outline="0" collapsedLevelsAreSubtotals="1" fieldPosition="0">
        <references count="1">
          <reference field="4294967294" count="1" selected="0">
            <x v="0"/>
          </reference>
        </references>
      </pivotArea>
    </format>
    <format dxfId="124">
      <pivotArea outline="0" collapsedLevelsAreSubtotals="1" fieldPosition="0">
        <references count="1">
          <reference field="4294967294" count="1" selected="0">
            <x v="1"/>
          </reference>
        </references>
      </pivotArea>
    </format>
    <format dxfId="123">
      <pivotArea collapsedLevelsAreSubtotals="1" fieldPosition="0">
        <references count="2">
          <reference field="4294967294" count="1" selected="0">
            <x v="2"/>
          </reference>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25">
    <pivotHierarchy multipleItemSelectionAllowed="1" dragToData="1"/>
    <pivotHierarchy dragToData="1"/>
    <pivotHierarchy dragToData="1"/>
    <pivotHierarchy multipleItemSelectionAllowed="1" dragToData="1">
      <members count="1" level="1">
        <member name="[Table1].[Item_Category].&amp;[MRO]"/>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1].[Year].&amp;[2023]"/>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efect Rate"/>
    <pivotHierarchy dragToData="1" caption="Average of Lead  Days"/>
    <pivotHierarchy dragToData="1"/>
    <pivotHierarchy dragToData="1" caption="Average of Unit_Price"/>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8F37EF-61BE-4BC0-99F4-9BBF0A36A4DC}" name="PivotTable2" cacheId="6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U5:W13" firstHeaderRow="1" firstDataRow="3"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3">
            <reference field="4294967294" count="1" selected="0">
              <x v="0"/>
            </reference>
            <reference field="2" count="1" selected="0">
              <x v="0"/>
            </reference>
            <reference field="3" count="1" selected="0">
              <x v="0"/>
            </reference>
          </references>
        </pivotArea>
      </autoSortScope>
    </pivotField>
    <pivotField dataField="1" subtotalTop="0" showAll="0" defaultSubtotal="0"/>
    <pivotField axis="axisCol" allDrilled="1" subtotalTop="0" showAll="0" dataSourceSort="1" defaultSubtotal="0" defaultAttributeDrillState="1">
      <items count="5">
        <item s="1" x="0"/>
        <item x="1"/>
        <item x="2"/>
        <item x="3"/>
        <item x="4"/>
      </items>
    </pivotField>
    <pivotField axis="axisCol" allDrilled="1" subtotalTop="0" showAll="0" dataSourceSort="1" defaultSubtotal="0" defaultAttributeDrillState="1">
      <items count="3">
        <item s="1" x="0"/>
        <item x="1"/>
        <item x="2"/>
      </items>
    </pivotField>
  </pivotFields>
  <rowFields count="1">
    <field x="0"/>
  </rowFields>
  <rowItems count="6">
    <i>
      <x/>
    </i>
    <i>
      <x v="4"/>
    </i>
    <i>
      <x v="1"/>
    </i>
    <i>
      <x v="2"/>
    </i>
    <i>
      <x v="3"/>
    </i>
    <i t="grand">
      <x/>
    </i>
  </rowItems>
  <colFields count="2">
    <field x="2"/>
    <field x="3"/>
  </colFields>
  <colItems count="2">
    <i>
      <x/>
      <x/>
    </i>
    <i t="grand">
      <x/>
    </i>
  </colItems>
  <dataFields count="1">
    <dataField name="Average of Unit_Price" fld="1" subtotal="average" baseField="0" baseItem="0" numFmtId="165"/>
  </dataFields>
  <formats count="6">
    <format dxfId="131">
      <pivotArea type="all" dataOnly="0" outline="0" fieldPosition="0"/>
    </format>
    <format dxfId="130">
      <pivotArea outline="0" collapsedLevelsAreSubtotals="1" fieldPosition="0"/>
    </format>
    <format dxfId="129">
      <pivotArea field="0" type="button" dataOnly="0" labelOnly="1" outline="0" axis="axisRow" fieldPosition="0"/>
    </format>
    <format dxfId="128">
      <pivotArea dataOnly="0" labelOnly="1" fieldPosition="0">
        <references count="1">
          <reference field="0" count="0"/>
        </references>
      </pivotArea>
    </format>
    <format dxfId="127">
      <pivotArea dataOnly="0" labelOnly="1" grandRow="1" outline="0" fieldPosition="0"/>
    </format>
    <format dxfId="126">
      <pivotArea dataOnly="0" labelOnly="1" outline="0" axis="axisValues" fieldPosition="0"/>
    </format>
  </formats>
  <chartFormats count="5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4"/>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1"/>
          </reference>
        </references>
      </pivotArea>
    </chartFormat>
    <chartFormat chart="13" format="15" series="1">
      <pivotArea type="data" outline="0" fieldPosition="0">
        <references count="2">
          <reference field="4294967294" count="1" selected="0">
            <x v="0"/>
          </reference>
          <reference field="2" count="1" selected="0">
            <x v="1"/>
          </reference>
        </references>
      </pivotArea>
    </chartFormat>
    <chartFormat chart="13" format="16" series="1">
      <pivotArea type="data" outline="0" fieldPosition="0">
        <references count="2">
          <reference field="4294967294" count="1" selected="0">
            <x v="0"/>
          </reference>
          <reference field="2" count="1" selected="0">
            <x v="0"/>
          </reference>
        </references>
      </pivotArea>
    </chartFormat>
    <chartFormat chart="13" format="17" series="1">
      <pivotArea type="data" outline="0" fieldPosition="0">
        <references count="2">
          <reference field="4294967294" count="1" selected="0">
            <x v="0"/>
          </reference>
          <reference field="2" count="1" selected="0">
            <x v="2"/>
          </reference>
        </references>
      </pivotArea>
    </chartFormat>
    <chartFormat chart="13" format="18" series="1">
      <pivotArea type="data" outline="0" fieldPosition="0">
        <references count="2">
          <reference field="4294967294" count="1" selected="0">
            <x v="0"/>
          </reference>
          <reference field="2" count="1" selected="0">
            <x v="4"/>
          </reference>
        </references>
      </pivotArea>
    </chartFormat>
    <chartFormat chart="13" format="19" series="1">
      <pivotArea type="data" outline="0" fieldPosition="0">
        <references count="2">
          <reference field="4294967294" count="1" selected="0">
            <x v="0"/>
          </reference>
          <reference field="2"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series="1">
      <pivotArea type="data" outline="0" fieldPosition="0">
        <references count="3">
          <reference field="4294967294" count="1" selected="0">
            <x v="0"/>
          </reference>
          <reference field="2" count="1" selected="0">
            <x v="0"/>
          </reference>
          <reference field="3" count="1" selected="0">
            <x v="0"/>
          </reference>
        </references>
      </pivotArea>
    </chartFormat>
    <chartFormat chart="13" format="22" series="1">
      <pivotArea type="data" outline="0" fieldPosition="0">
        <references count="3">
          <reference field="4294967294" count="1" selected="0">
            <x v="0"/>
          </reference>
          <reference field="2" count="1" selected="0">
            <x v="2"/>
          </reference>
          <reference field="3" count="1" selected="0">
            <x v="0"/>
          </reference>
        </references>
      </pivotArea>
    </chartFormat>
    <chartFormat chart="13" format="23" series="1">
      <pivotArea type="data" outline="0" fieldPosition="0">
        <references count="3">
          <reference field="4294967294" count="1" selected="0">
            <x v="0"/>
          </reference>
          <reference field="2" count="1" selected="0">
            <x v="4"/>
          </reference>
          <reference field="3" count="1" selected="0">
            <x v="0"/>
          </reference>
        </references>
      </pivotArea>
    </chartFormat>
    <chartFormat chart="13" format="24" series="1">
      <pivotArea type="data" outline="0" fieldPosition="0">
        <references count="3">
          <reference field="4294967294" count="1" selected="0">
            <x v="0"/>
          </reference>
          <reference field="2" count="1" selected="0">
            <x v="3"/>
          </reference>
          <reference field="3" count="1" selected="0">
            <x v="0"/>
          </reference>
        </references>
      </pivotArea>
    </chartFormat>
    <chartFormat chart="0" format="10" series="1">
      <pivotArea type="data" outline="0" fieldPosition="0">
        <references count="3">
          <reference field="4294967294" count="1" selected="0">
            <x v="0"/>
          </reference>
          <reference field="2" count="1" selected="0">
            <x v="0"/>
          </reference>
          <reference field="3" count="1" selected="0">
            <x v="0"/>
          </reference>
        </references>
      </pivotArea>
    </chartFormat>
    <chartFormat chart="0" format="11" series="1">
      <pivotArea type="data" outline="0" fieldPosition="0">
        <references count="3">
          <reference field="4294967294" count="1" selected="0">
            <x v="0"/>
          </reference>
          <reference field="2" count="1" selected="0">
            <x v="2"/>
          </reference>
          <reference field="3" count="1" selected="0">
            <x v="0"/>
          </reference>
        </references>
      </pivotArea>
    </chartFormat>
    <chartFormat chart="0" format="12" series="1">
      <pivotArea type="data" outline="0" fieldPosition="0">
        <references count="3">
          <reference field="4294967294" count="1" selected="0">
            <x v="0"/>
          </reference>
          <reference field="2" count="1" selected="0">
            <x v="4"/>
          </reference>
          <reference field="3" count="1" selected="0">
            <x v="0"/>
          </reference>
        </references>
      </pivotArea>
    </chartFormat>
    <chartFormat chart="0" format="13" series="1">
      <pivotArea type="data" outline="0" fieldPosition="0">
        <references count="3">
          <reference field="4294967294" count="1" selected="0">
            <x v="0"/>
          </reference>
          <reference field="2" count="1" selected="0">
            <x v="3"/>
          </reference>
          <reference field="3" count="1" selected="0">
            <x v="0"/>
          </reference>
        </references>
      </pivotArea>
    </chartFormat>
    <chartFormat chart="13" format="25" series="1">
      <pivotArea type="data" outline="0" fieldPosition="0">
        <references count="3">
          <reference field="4294967294" count="1" selected="0">
            <x v="0"/>
          </reference>
          <reference field="2" count="1" selected="0">
            <x v="0"/>
          </reference>
          <reference field="3" count="1" selected="0">
            <x v="1"/>
          </reference>
        </references>
      </pivotArea>
    </chartFormat>
    <chartFormat chart="13" format="26" series="1">
      <pivotArea type="data" outline="0" fieldPosition="0">
        <references count="3">
          <reference field="4294967294" count="1" selected="0">
            <x v="0"/>
          </reference>
          <reference field="2" count="1" selected="0">
            <x v="2"/>
          </reference>
          <reference field="3" count="1" selected="0">
            <x v="1"/>
          </reference>
        </references>
      </pivotArea>
    </chartFormat>
    <chartFormat chart="13" format="27" series="1">
      <pivotArea type="data" outline="0" fieldPosition="0">
        <references count="3">
          <reference field="4294967294" count="1" selected="0">
            <x v="0"/>
          </reference>
          <reference field="2" count="1" selected="0">
            <x v="4"/>
          </reference>
          <reference field="3" count="1" selected="0">
            <x v="1"/>
          </reference>
        </references>
      </pivotArea>
    </chartFormat>
    <chartFormat chart="13" format="28" series="1">
      <pivotArea type="data" outline="0" fieldPosition="0">
        <references count="3">
          <reference field="4294967294" count="1" selected="0">
            <x v="0"/>
          </reference>
          <reference field="2" count="1" selected="0">
            <x v="3"/>
          </reference>
          <reference field="3" count="1" selected="0">
            <x v="1"/>
          </reference>
        </references>
      </pivotArea>
    </chartFormat>
    <chartFormat chart="0" format="14" series="1">
      <pivotArea type="data" outline="0" fieldPosition="0">
        <references count="3">
          <reference field="4294967294" count="1" selected="0">
            <x v="0"/>
          </reference>
          <reference field="2" count="1" selected="0">
            <x v="0"/>
          </reference>
          <reference field="3" count="1" selected="0">
            <x v="1"/>
          </reference>
        </references>
      </pivotArea>
    </chartFormat>
    <chartFormat chart="0" format="15" series="1">
      <pivotArea type="data" outline="0" fieldPosition="0">
        <references count="3">
          <reference field="4294967294" count="1" selected="0">
            <x v="0"/>
          </reference>
          <reference field="2" count="1" selected="0">
            <x v="2"/>
          </reference>
          <reference field="3" count="1" selected="0">
            <x v="1"/>
          </reference>
        </references>
      </pivotArea>
    </chartFormat>
    <chartFormat chart="0" format="16" series="1">
      <pivotArea type="data" outline="0" fieldPosition="0">
        <references count="3">
          <reference field="4294967294" count="1" selected="0">
            <x v="0"/>
          </reference>
          <reference field="2" count="1" selected="0">
            <x v="4"/>
          </reference>
          <reference field="3" count="1" selected="0">
            <x v="1"/>
          </reference>
        </references>
      </pivotArea>
    </chartFormat>
    <chartFormat chart="0" format="17" series="1">
      <pivotArea type="data" outline="0" fieldPosition="0">
        <references count="3">
          <reference field="4294967294" count="1" selected="0">
            <x v="0"/>
          </reference>
          <reference field="2" count="1" selected="0">
            <x v="3"/>
          </reference>
          <reference field="3" count="1" selected="0">
            <x v="1"/>
          </reference>
        </references>
      </pivotArea>
    </chartFormat>
    <chartFormat chart="0" format="18" series="1">
      <pivotArea type="data" outline="0" fieldPosition="0">
        <references count="3">
          <reference field="4294967294" count="1" selected="0">
            <x v="0"/>
          </reference>
          <reference field="2" count="1" selected="0">
            <x v="1"/>
          </reference>
          <reference field="3" count="1" selected="0">
            <x v="1"/>
          </reference>
        </references>
      </pivotArea>
    </chartFormat>
    <chartFormat chart="13" format="29" series="1">
      <pivotArea type="data" outline="0" fieldPosition="0">
        <references count="3">
          <reference field="4294967294" count="1" selected="0">
            <x v="0"/>
          </reference>
          <reference field="2" count="1" selected="0">
            <x v="1"/>
          </reference>
          <reference field="3" count="1" selected="0">
            <x v="1"/>
          </reference>
        </references>
      </pivotArea>
    </chartFormat>
    <chartFormat chart="15" format="19" series="1">
      <pivotArea type="data" outline="0" fieldPosition="0">
        <references count="3">
          <reference field="4294967294" count="1" selected="0">
            <x v="0"/>
          </reference>
          <reference field="2" count="1" selected="0">
            <x v="1"/>
          </reference>
          <reference field="3" count="1" selected="0">
            <x v="1"/>
          </reference>
        </references>
      </pivotArea>
    </chartFormat>
    <chartFormat chart="15" format="20" series="1">
      <pivotArea type="data" outline="0" fieldPosition="0">
        <references count="3">
          <reference field="4294967294" count="1" selected="0">
            <x v="0"/>
          </reference>
          <reference field="2" count="1" selected="0">
            <x v="0"/>
          </reference>
          <reference field="3" count="1" selected="0">
            <x v="1"/>
          </reference>
        </references>
      </pivotArea>
    </chartFormat>
    <chartFormat chart="15" format="21" series="1">
      <pivotArea type="data" outline="0" fieldPosition="0">
        <references count="3">
          <reference field="4294967294" count="1" selected="0">
            <x v="0"/>
          </reference>
          <reference field="2" count="1" selected="0">
            <x v="2"/>
          </reference>
          <reference field="3" count="1" selected="0">
            <x v="1"/>
          </reference>
        </references>
      </pivotArea>
    </chartFormat>
    <chartFormat chart="15" format="22" series="1">
      <pivotArea type="data" outline="0" fieldPosition="0">
        <references count="3">
          <reference field="4294967294" count="1" selected="0">
            <x v="0"/>
          </reference>
          <reference field="2" count="1" selected="0">
            <x v="4"/>
          </reference>
          <reference field="3" count="1" selected="0">
            <x v="1"/>
          </reference>
        </references>
      </pivotArea>
    </chartFormat>
    <chartFormat chart="15" format="23" series="1">
      <pivotArea type="data" outline="0" fieldPosition="0">
        <references count="3">
          <reference field="4294967294" count="1" selected="0">
            <x v="0"/>
          </reference>
          <reference field="2" count="1" selected="0">
            <x v="3"/>
          </reference>
          <reference field="3" count="1" selected="0">
            <x v="1"/>
          </reference>
        </references>
      </pivotArea>
    </chartFormat>
    <chartFormat chart="16" format="24" series="1">
      <pivotArea type="data" outline="0" fieldPosition="0">
        <references count="3">
          <reference field="4294967294" count="1" selected="0">
            <x v="0"/>
          </reference>
          <reference field="2" count="1" selected="0">
            <x v="1"/>
          </reference>
          <reference field="3" count="1" selected="0">
            <x v="1"/>
          </reference>
        </references>
      </pivotArea>
    </chartFormat>
    <chartFormat chart="16" format="25" series="1">
      <pivotArea type="data" outline="0" fieldPosition="0">
        <references count="3">
          <reference field="4294967294" count="1" selected="0">
            <x v="0"/>
          </reference>
          <reference field="2" count="1" selected="0">
            <x v="0"/>
          </reference>
          <reference field="3" count="1" selected="0">
            <x v="1"/>
          </reference>
        </references>
      </pivotArea>
    </chartFormat>
    <chartFormat chart="16" format="26" series="1">
      <pivotArea type="data" outline="0" fieldPosition="0">
        <references count="3">
          <reference field="4294967294" count="1" selected="0">
            <x v="0"/>
          </reference>
          <reference field="2" count="1" selected="0">
            <x v="2"/>
          </reference>
          <reference field="3" count="1" selected="0">
            <x v="1"/>
          </reference>
        </references>
      </pivotArea>
    </chartFormat>
    <chartFormat chart="16" format="27" series="1">
      <pivotArea type="data" outline="0" fieldPosition="0">
        <references count="3">
          <reference field="4294967294" count="1" selected="0">
            <x v="0"/>
          </reference>
          <reference field="2" count="1" selected="0">
            <x v="4"/>
          </reference>
          <reference field="3" count="1" selected="0">
            <x v="1"/>
          </reference>
        </references>
      </pivotArea>
    </chartFormat>
    <chartFormat chart="16" format="28" series="1">
      <pivotArea type="data" outline="0" fieldPosition="0">
        <references count="3">
          <reference field="4294967294" count="1" selected="0">
            <x v="0"/>
          </reference>
          <reference field="2" count="1" selected="0">
            <x v="3"/>
          </reference>
          <reference field="3" count="1" selected="0">
            <x v="1"/>
          </reference>
        </references>
      </pivotArea>
    </chartFormat>
    <chartFormat chart="17" format="29" series="1">
      <pivotArea type="data" outline="0" fieldPosition="0">
        <references count="3">
          <reference field="4294967294" count="1" selected="0">
            <x v="0"/>
          </reference>
          <reference field="2" count="1" selected="0">
            <x v="1"/>
          </reference>
          <reference field="3" count="1" selected="0">
            <x v="1"/>
          </reference>
        </references>
      </pivotArea>
    </chartFormat>
    <chartFormat chart="17" format="30" series="1">
      <pivotArea type="data" outline="0" fieldPosition="0">
        <references count="3">
          <reference field="4294967294" count="1" selected="0">
            <x v="0"/>
          </reference>
          <reference field="2" count="1" selected="0">
            <x v="0"/>
          </reference>
          <reference field="3" count="1" selected="0">
            <x v="1"/>
          </reference>
        </references>
      </pivotArea>
    </chartFormat>
    <chartFormat chart="17" format="31" series="1">
      <pivotArea type="data" outline="0" fieldPosition="0">
        <references count="3">
          <reference field="4294967294" count="1" selected="0">
            <x v="0"/>
          </reference>
          <reference field="2" count="1" selected="0">
            <x v="2"/>
          </reference>
          <reference field="3" count="1" selected="0">
            <x v="1"/>
          </reference>
        </references>
      </pivotArea>
    </chartFormat>
    <chartFormat chart="17" format="32" series="1">
      <pivotArea type="data" outline="0" fieldPosition="0">
        <references count="3">
          <reference field="4294967294" count="1" selected="0">
            <x v="0"/>
          </reference>
          <reference field="2" count="1" selected="0">
            <x v="4"/>
          </reference>
          <reference field="3" count="1" selected="0">
            <x v="1"/>
          </reference>
        </references>
      </pivotArea>
    </chartFormat>
    <chartFormat chart="17" format="33" series="1">
      <pivotArea type="data" outline="0" fieldPosition="0">
        <references count="3">
          <reference field="4294967294" count="1" selected="0">
            <x v="0"/>
          </reference>
          <reference field="2" count="1" selected="0">
            <x v="3"/>
          </reference>
          <reference field="3" count="1" selected="0">
            <x v="1"/>
          </reference>
        </references>
      </pivotArea>
    </chartFormat>
    <chartFormat chart="18" format="34" series="1">
      <pivotArea type="data" outline="0" fieldPosition="0">
        <references count="3">
          <reference field="4294967294" count="1" selected="0">
            <x v="0"/>
          </reference>
          <reference field="2" count="1" selected="0">
            <x v="1"/>
          </reference>
          <reference field="3" count="1" selected="0">
            <x v="1"/>
          </reference>
        </references>
      </pivotArea>
    </chartFormat>
    <chartFormat chart="18" format="35" series="1">
      <pivotArea type="data" outline="0" fieldPosition="0">
        <references count="3">
          <reference field="4294967294" count="1" selected="0">
            <x v="0"/>
          </reference>
          <reference field="2" count="1" selected="0">
            <x v="0"/>
          </reference>
          <reference field="3" count="1" selected="0">
            <x v="1"/>
          </reference>
        </references>
      </pivotArea>
    </chartFormat>
    <chartFormat chart="18" format="36" series="1">
      <pivotArea type="data" outline="0" fieldPosition="0">
        <references count="3">
          <reference field="4294967294" count="1" selected="0">
            <x v="0"/>
          </reference>
          <reference field="2" count="1" selected="0">
            <x v="2"/>
          </reference>
          <reference field="3" count="1" selected="0">
            <x v="1"/>
          </reference>
        </references>
      </pivotArea>
    </chartFormat>
    <chartFormat chart="18" format="37" series="1">
      <pivotArea type="data" outline="0" fieldPosition="0">
        <references count="3">
          <reference field="4294967294" count="1" selected="0">
            <x v="0"/>
          </reference>
          <reference field="2" count="1" selected="0">
            <x v="4"/>
          </reference>
          <reference field="3" count="1" selected="0">
            <x v="1"/>
          </reference>
        </references>
      </pivotArea>
    </chartFormat>
    <chartFormat chart="18" format="38" series="1">
      <pivotArea type="data" outline="0" fieldPosition="0">
        <references count="3">
          <reference field="4294967294" count="1" selected="0">
            <x v="0"/>
          </reference>
          <reference field="2" count="1" selected="0">
            <x v="3"/>
          </reference>
          <reference field="3" count="1" selected="0">
            <x v="1"/>
          </reference>
        </references>
      </pivotArea>
    </chartFormat>
    <chartFormat chart="16" format="29" series="1">
      <pivotArea type="data" outline="0" fieldPosition="0">
        <references count="3">
          <reference field="4294967294" count="1" selected="0">
            <x v="0"/>
          </reference>
          <reference field="2" count="1" selected="0">
            <x v="3"/>
          </reference>
          <reference field="3" count="1" selected="0">
            <x v="0"/>
          </reference>
        </references>
      </pivotArea>
    </chartFormat>
    <chartFormat chart="16" format="30" series="1">
      <pivotArea type="data" outline="0" fieldPosition="0">
        <references count="3">
          <reference field="4294967294" count="1" selected="0">
            <x v="0"/>
          </reference>
          <reference field="2" count="1" selected="0">
            <x v="1"/>
          </reference>
          <reference field="3" count="1" selected="0">
            <x v="0"/>
          </reference>
        </references>
      </pivotArea>
    </chartFormat>
    <chartFormat chart="16" format="31" series="1">
      <pivotArea type="data" outline="0" fieldPosition="0">
        <references count="3">
          <reference field="4294967294" count="1" selected="0">
            <x v="0"/>
          </reference>
          <reference field="2" count="1" selected="0">
            <x v="0"/>
          </reference>
          <reference field="3" count="1" selected="0">
            <x v="0"/>
          </reference>
        </references>
      </pivotArea>
    </chartFormat>
    <chartFormat chart="16" format="32" series="1">
      <pivotArea type="data" outline="0" fieldPosition="0">
        <references count="3">
          <reference field="4294967294" count="1" selected="0">
            <x v="0"/>
          </reference>
          <reference field="2" count="1" selected="0">
            <x v="2"/>
          </reference>
          <reference field="3" count="1" selected="0">
            <x v="0"/>
          </reference>
        </references>
      </pivotArea>
    </chartFormat>
    <chartFormat chart="16" format="33" series="1">
      <pivotArea type="data" outline="0" fieldPosition="0">
        <references count="3">
          <reference field="4294967294" count="1" selected="0">
            <x v="0"/>
          </reference>
          <reference field="2" count="1" selected="0">
            <x v="4"/>
          </reference>
          <reference field="3" count="1" selected="0">
            <x v="0"/>
          </reference>
        </references>
      </pivotArea>
    </chartFormat>
    <chartFormat chart="16" format="34" series="1">
      <pivotArea type="data" outline="0" fieldPosition="0">
        <references count="3">
          <reference field="4294967294" count="1" selected="0">
            <x v="0"/>
          </reference>
          <reference field="2" count="1" selected="0">
            <x v="1"/>
          </reference>
          <reference field="3" count="1" selected="0">
            <x v="2"/>
          </reference>
        </references>
      </pivotArea>
    </chartFormat>
    <chartFormat chart="0" format="19" series="1">
      <pivotArea type="data" outline="0" fieldPosition="0">
        <references count="3">
          <reference field="4294967294" count="1" selected="0">
            <x v="0"/>
          </reference>
          <reference field="2" count="1" selected="0">
            <x v="1"/>
          </reference>
          <reference field="3" count="1" selected="0">
            <x v="2"/>
          </reference>
        </references>
      </pivotArea>
    </chartFormat>
    <chartFormat chart="0" format="20" series="1">
      <pivotArea type="data" outline="0" fieldPosition="0">
        <references count="3">
          <reference field="4294967294" count="1" selected="0">
            <x v="0"/>
          </reference>
          <reference field="2" count="1" selected="0">
            <x v="1"/>
          </reference>
          <reference field="3" count="1" selected="0">
            <x v="0"/>
          </reference>
        </references>
      </pivotArea>
    </chartFormat>
  </chartFormats>
  <pivotHierarchies count="25">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_Price"/>
  </pivotHierarchies>
  <pivotTableStyleInfo name="PivotStyleLight16" showRowHeaders="1" showColHeaders="1" showRowStripes="0" showColStripes="0" showLastColumn="1"/>
  <rowHierarchiesUsage count="1">
    <rowHierarchyUsage hierarchyUsage="0"/>
  </rowHierarchiesUsage>
  <colHierarchiesUsage count="2">
    <colHierarchyUsage hierarchyUsage="3"/>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BA4D43-B054-49DF-AF56-A6C0CE7D7F0B}" name="PivotTable6" cacheId="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U98:W151" firstHeaderRow="1" firstDataRow="2" firstDataCol="1"/>
  <pivotFields count="5">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3">
        <item s="1" x="0"/>
        <item x="1"/>
        <item x="2"/>
      </items>
    </pivotField>
    <pivotField allDrilled="1" subtotalTop="0" showAll="0" dataSourceSort="1" defaultSubtotal="0" defaultAttributeDrillState="1"/>
  </pivotFields>
  <rowFields count="2">
    <field x="0"/>
    <field x="1"/>
  </rowFields>
  <rowItems count="52">
    <i>
      <x/>
    </i>
    <i r="1">
      <x/>
    </i>
    <i r="1">
      <x v="1"/>
    </i>
    <i r="1">
      <x v="2"/>
    </i>
    <i r="1">
      <x v="3"/>
    </i>
    <i r="1">
      <x v="4"/>
    </i>
    <i r="1">
      <x v="5"/>
    </i>
    <i r="1">
      <x v="6"/>
    </i>
    <i r="1">
      <x v="7"/>
    </i>
    <i r="1">
      <x v="8"/>
    </i>
    <i r="1">
      <x v="9"/>
    </i>
    <i>
      <x v="1"/>
    </i>
    <i r="1">
      <x/>
    </i>
    <i r="1">
      <x v="1"/>
    </i>
    <i r="1">
      <x v="2"/>
    </i>
    <i r="1">
      <x v="10"/>
    </i>
    <i r="1">
      <x v="4"/>
    </i>
    <i r="1">
      <x v="5"/>
    </i>
    <i r="1">
      <x v="6"/>
    </i>
    <i r="1">
      <x v="7"/>
    </i>
    <i r="1">
      <x v="11"/>
    </i>
    <i r="1">
      <x v="8"/>
    </i>
    <i r="1">
      <x v="9"/>
    </i>
    <i>
      <x v="2"/>
    </i>
    <i r="1">
      <x/>
    </i>
    <i r="1">
      <x v="2"/>
    </i>
    <i r="1">
      <x v="3"/>
    </i>
    <i r="1">
      <x v="4"/>
    </i>
    <i r="1">
      <x v="5"/>
    </i>
    <i r="1">
      <x v="7"/>
    </i>
    <i r="1">
      <x v="11"/>
    </i>
    <i r="1">
      <x v="8"/>
    </i>
    <i r="1">
      <x v="9"/>
    </i>
    <i>
      <x v="3"/>
    </i>
    <i r="1">
      <x/>
    </i>
    <i r="1">
      <x v="1"/>
    </i>
    <i r="1">
      <x v="2"/>
    </i>
    <i r="1">
      <x v="10"/>
    </i>
    <i r="1">
      <x v="3"/>
    </i>
    <i r="1">
      <x v="4"/>
    </i>
    <i r="1">
      <x v="5"/>
    </i>
    <i r="1">
      <x v="6"/>
    </i>
    <i r="1">
      <x v="11"/>
    </i>
    <i>
      <x v="4"/>
    </i>
    <i r="1">
      <x v="1"/>
    </i>
    <i r="1">
      <x v="2"/>
    </i>
    <i r="1">
      <x v="3"/>
    </i>
    <i r="1">
      <x v="5"/>
    </i>
    <i r="1">
      <x v="6"/>
    </i>
    <i r="1">
      <x v="11"/>
    </i>
    <i r="1">
      <x v="8"/>
    </i>
    <i t="grand">
      <x/>
    </i>
  </rowItems>
  <colFields count="1">
    <field x="3"/>
  </colFields>
  <colItems count="2">
    <i>
      <x/>
    </i>
    <i t="grand">
      <x/>
    </i>
  </colItems>
  <dataFields count="1">
    <dataField name="Average of Lead  Days" fld="2" subtotal="average" baseField="0" baseItem="0"/>
  </dataFields>
  <formats count="1">
    <format dxfId="132">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2">
          <reference field="4294967294" count="1" selected="0">
            <x v="0"/>
          </reference>
          <reference field="3" count="1" selected="0">
            <x v="0"/>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s>
  <pivotHierarchies count="25">
    <pivotHierarchy multipleItemSelectionAllowed="1" dragToData="1"/>
    <pivotHierarchy dragToData="1"/>
    <pivotHierarchy dragToData="1"/>
    <pivotHierarchy multipleItemSelectionAllowed="1" dragToData="1">
      <members count="1" level="1">
        <member name="[Table1].[Item_Category].&amp;[MRO]"/>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Lead  Days"/>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59CA28-1534-4157-BF41-47587E8829E7}" name="PivotTable7"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D118:E170" firstHeaderRow="1" firstDataRow="1" firstDataCol="1" rowPageCount="1" colPageCount="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2">
    <field x="1"/>
    <field x="0"/>
  </rowFields>
  <rowItems count="52">
    <i>
      <x/>
    </i>
    <i r="1">
      <x/>
    </i>
    <i r="1">
      <x v="1"/>
    </i>
    <i r="1">
      <x v="2"/>
    </i>
    <i r="1">
      <x v="3"/>
    </i>
    <i r="1">
      <x v="4"/>
    </i>
    <i r="1">
      <x v="5"/>
    </i>
    <i r="1">
      <x v="6"/>
    </i>
    <i r="1">
      <x v="7"/>
    </i>
    <i r="1">
      <x v="8"/>
    </i>
    <i r="1">
      <x v="9"/>
    </i>
    <i>
      <x v="1"/>
    </i>
    <i r="1">
      <x/>
    </i>
    <i r="1">
      <x v="1"/>
    </i>
    <i r="1">
      <x v="2"/>
    </i>
    <i r="1">
      <x v="10"/>
    </i>
    <i r="1">
      <x v="4"/>
    </i>
    <i r="1">
      <x v="5"/>
    </i>
    <i r="1">
      <x v="6"/>
    </i>
    <i r="1">
      <x v="7"/>
    </i>
    <i r="1">
      <x v="11"/>
    </i>
    <i r="1">
      <x v="8"/>
    </i>
    <i r="1">
      <x v="9"/>
    </i>
    <i>
      <x v="2"/>
    </i>
    <i r="1">
      <x/>
    </i>
    <i r="1">
      <x v="2"/>
    </i>
    <i r="1">
      <x v="3"/>
    </i>
    <i r="1">
      <x v="4"/>
    </i>
    <i r="1">
      <x v="5"/>
    </i>
    <i r="1">
      <x v="7"/>
    </i>
    <i r="1">
      <x v="11"/>
    </i>
    <i r="1">
      <x v="8"/>
    </i>
    <i r="1">
      <x v="9"/>
    </i>
    <i>
      <x v="3"/>
    </i>
    <i r="1">
      <x/>
    </i>
    <i r="1">
      <x v="1"/>
    </i>
    <i r="1">
      <x v="2"/>
    </i>
    <i r="1">
      <x v="10"/>
    </i>
    <i r="1">
      <x v="3"/>
    </i>
    <i r="1">
      <x v="4"/>
    </i>
    <i r="1">
      <x v="5"/>
    </i>
    <i r="1">
      <x v="6"/>
    </i>
    <i r="1">
      <x v="11"/>
    </i>
    <i>
      <x v="4"/>
    </i>
    <i r="1">
      <x v="1"/>
    </i>
    <i r="1">
      <x v="2"/>
    </i>
    <i r="1">
      <x v="3"/>
    </i>
    <i r="1">
      <x v="5"/>
    </i>
    <i r="1">
      <x v="6"/>
    </i>
    <i r="1">
      <x v="11"/>
    </i>
    <i r="1">
      <x v="8"/>
    </i>
    <i t="grand">
      <x/>
    </i>
  </rowItems>
  <colItems count="1">
    <i/>
  </colItems>
  <pageFields count="1">
    <pageField fld="3" hier="11" name="[Table1].[Year].&amp;[2023]" cap="2023"/>
  </pageFields>
  <dataFields count="1">
    <dataField name="Average of Defect Rate" fld="2" subtotal="average" baseField="0" baseItem="0"/>
  </dataFields>
  <formats count="25">
    <format dxfId="157">
      <pivotArea dataOnly="0" labelOnly="1" outline="0" axis="axisValues" fieldPosition="0"/>
    </format>
    <format dxfId="156">
      <pivotArea collapsedLevelsAreSubtotals="1" fieldPosition="0">
        <references count="2">
          <reference field="0" count="1" selected="0">
            <x v="0"/>
          </reference>
          <reference field="1" count="0"/>
        </references>
      </pivotArea>
    </format>
    <format dxfId="155">
      <pivotArea collapsedLevelsAreSubtotals="1" fieldPosition="0">
        <references count="1">
          <reference field="0" count="1">
            <x v="1"/>
          </reference>
        </references>
      </pivotArea>
    </format>
    <format dxfId="154">
      <pivotArea collapsedLevelsAreSubtotals="1" fieldPosition="0">
        <references count="2">
          <reference field="0" count="1" selected="0">
            <x v="1"/>
          </reference>
          <reference field="1" count="0"/>
        </references>
      </pivotArea>
    </format>
    <format dxfId="153">
      <pivotArea collapsedLevelsAreSubtotals="1" fieldPosition="0">
        <references count="1">
          <reference field="0" count="1">
            <x v="2"/>
          </reference>
        </references>
      </pivotArea>
    </format>
    <format dxfId="152">
      <pivotArea collapsedLevelsAreSubtotals="1" fieldPosition="0">
        <references count="2">
          <reference field="0" count="1" selected="0">
            <x v="2"/>
          </reference>
          <reference field="1" count="0"/>
        </references>
      </pivotArea>
    </format>
    <format dxfId="151">
      <pivotArea collapsedLevelsAreSubtotals="1" fieldPosition="0">
        <references count="1">
          <reference field="0" count="1">
            <x v="10"/>
          </reference>
        </references>
      </pivotArea>
    </format>
    <format dxfId="150">
      <pivotArea collapsedLevelsAreSubtotals="1" fieldPosition="0">
        <references count="2">
          <reference field="0" count="1" selected="0">
            <x v="10"/>
          </reference>
          <reference field="1" count="0"/>
        </references>
      </pivotArea>
    </format>
    <format dxfId="149">
      <pivotArea collapsedLevelsAreSubtotals="1" fieldPosition="0">
        <references count="1">
          <reference field="0" count="1">
            <x v="3"/>
          </reference>
        </references>
      </pivotArea>
    </format>
    <format dxfId="148">
      <pivotArea collapsedLevelsAreSubtotals="1" fieldPosition="0">
        <references count="2">
          <reference field="0" count="1" selected="0">
            <x v="3"/>
          </reference>
          <reference field="1" count="0"/>
        </references>
      </pivotArea>
    </format>
    <format dxfId="147">
      <pivotArea collapsedLevelsAreSubtotals="1" fieldPosition="0">
        <references count="1">
          <reference field="0" count="1">
            <x v="4"/>
          </reference>
        </references>
      </pivotArea>
    </format>
    <format dxfId="146">
      <pivotArea collapsedLevelsAreSubtotals="1" fieldPosition="0">
        <references count="2">
          <reference field="0" count="1" selected="0">
            <x v="4"/>
          </reference>
          <reference field="1" count="0"/>
        </references>
      </pivotArea>
    </format>
    <format dxfId="145">
      <pivotArea collapsedLevelsAreSubtotals="1" fieldPosition="0">
        <references count="1">
          <reference field="0" count="1">
            <x v="5"/>
          </reference>
        </references>
      </pivotArea>
    </format>
    <format dxfId="144">
      <pivotArea collapsedLevelsAreSubtotals="1" fieldPosition="0">
        <references count="2">
          <reference field="0" count="1" selected="0">
            <x v="5"/>
          </reference>
          <reference field="1" count="0"/>
        </references>
      </pivotArea>
    </format>
    <format dxfId="143">
      <pivotArea collapsedLevelsAreSubtotals="1" fieldPosition="0">
        <references count="1">
          <reference field="0" count="1">
            <x v="6"/>
          </reference>
        </references>
      </pivotArea>
    </format>
    <format dxfId="142">
      <pivotArea collapsedLevelsAreSubtotals="1" fieldPosition="0">
        <references count="2">
          <reference field="0" count="1" selected="0">
            <x v="6"/>
          </reference>
          <reference field="1" count="0"/>
        </references>
      </pivotArea>
    </format>
    <format dxfId="141">
      <pivotArea collapsedLevelsAreSubtotals="1" fieldPosition="0">
        <references count="1">
          <reference field="0" count="1">
            <x v="7"/>
          </reference>
        </references>
      </pivotArea>
    </format>
    <format dxfId="140">
      <pivotArea collapsedLevelsAreSubtotals="1" fieldPosition="0">
        <references count="2">
          <reference field="0" count="1" selected="0">
            <x v="7"/>
          </reference>
          <reference field="1" count="0"/>
        </references>
      </pivotArea>
    </format>
    <format dxfId="139">
      <pivotArea collapsedLevelsAreSubtotals="1" fieldPosition="0">
        <references count="1">
          <reference field="0" count="1">
            <x v="11"/>
          </reference>
        </references>
      </pivotArea>
    </format>
    <format dxfId="138">
      <pivotArea collapsedLevelsAreSubtotals="1" fieldPosition="0">
        <references count="2">
          <reference field="0" count="1" selected="0">
            <x v="11"/>
          </reference>
          <reference field="1" count="0"/>
        </references>
      </pivotArea>
    </format>
    <format dxfId="137">
      <pivotArea collapsedLevelsAreSubtotals="1" fieldPosition="0">
        <references count="1">
          <reference field="0" count="1">
            <x v="8"/>
          </reference>
        </references>
      </pivotArea>
    </format>
    <format dxfId="136">
      <pivotArea collapsedLevelsAreSubtotals="1" fieldPosition="0">
        <references count="2">
          <reference field="0" count="1" selected="0">
            <x v="8"/>
          </reference>
          <reference field="1" count="0"/>
        </references>
      </pivotArea>
    </format>
    <format dxfId="135">
      <pivotArea collapsedLevelsAreSubtotals="1" fieldPosition="0">
        <references count="1">
          <reference field="0" count="1">
            <x v="9"/>
          </reference>
        </references>
      </pivotArea>
    </format>
    <format dxfId="134">
      <pivotArea collapsedLevelsAreSubtotals="1" fieldPosition="0">
        <references count="2">
          <reference field="0" count="1" selected="0">
            <x v="9"/>
          </reference>
          <reference field="1" count="0"/>
        </references>
      </pivotArea>
    </format>
    <format dxfId="13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multipleItemSelectionAllowed="1" dragToData="1">
      <members count="1" level="1">
        <member name="[Table1].[Item_Category].&amp;[MRO]"/>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1].[Year].&amp;[2023]"/>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efect Rat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737AE8-45B9-456E-BB41-D74F6E68F338}" name="PivotTable4"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V38:X45" firstHeaderRow="1" firstDataRow="2"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s="1" x="0"/>
        <item x="1"/>
        <item x="2"/>
      </items>
    </pivotField>
    <pivotField allDrilled="1" subtotalTop="0" showAll="0" dataSourceSort="1" defaultSubtotal="0" defaultAttributeDrillState="1"/>
  </pivotFields>
  <rowFields count="1">
    <field x="0"/>
  </rowFields>
  <rowItems count="6">
    <i>
      <x v="4"/>
    </i>
    <i>
      <x v="3"/>
    </i>
    <i>
      <x v="1"/>
    </i>
    <i>
      <x/>
    </i>
    <i>
      <x v="2"/>
    </i>
    <i t="grand">
      <x/>
    </i>
  </rowItems>
  <colFields count="1">
    <field x="2"/>
  </colFields>
  <colItems count="2">
    <i>
      <x/>
    </i>
    <i t="grand">
      <x/>
    </i>
  </colItems>
  <dataFields count="1">
    <dataField name="Average of Lead  Days" fld="1" subtotal="average" baseField="0" baseItem="0" numFmtId="1"/>
  </dataFields>
  <formats count="2">
    <format dxfId="159">
      <pivotArea outline="0" collapsedLevelsAreSubtotals="1" fieldPosition="0"/>
    </format>
    <format dxfId="158">
      <pivotArea collapsedLevelsAreSubtotals="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2" count="1" selected="0">
            <x v="1"/>
          </reference>
        </references>
      </pivotArea>
    </chartFormat>
    <chartFormat chart="4" format="1" series="1">
      <pivotArea type="data" outline="0" fieldPosition="0">
        <references count="2">
          <reference field="4294967294" count="1" selected="0">
            <x v="0"/>
          </reference>
          <reference field="2" count="1" selected="0">
            <x v="0"/>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1"/>
          </reference>
        </references>
      </pivotArea>
    </chartFormat>
    <chartFormat chart="6" format="7" series="1">
      <pivotArea type="data" outline="0" fieldPosition="0">
        <references count="2">
          <reference field="4294967294" count="1" selected="0">
            <x v="0"/>
          </reference>
          <reference field="2" count="1" selected="0">
            <x v="0"/>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s>
  <pivotHierarchies count="25">
    <pivotHierarchy multipleItemSelectionAllowed="1" dragToData="1"/>
    <pivotHierarchy dragToData="1"/>
    <pivotHierarchy dragToData="1"/>
    <pivotHierarchy multipleItemSelectionAllowed="1" dragToData="1">
      <members count="1" level="1">
        <member name="[Table1].[Item_Category].&amp;[MRO]"/>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Lead  Days"/>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20672E-17B7-4785-9D40-F10340C71845}" name="PivotTable1" cacheId="5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B147" firstHeaderRow="1" firstDataRow="1" firstDataCol="1"/>
  <pivotFields count="5">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s>
  <rowFields count="4">
    <field x="0"/>
    <field x="1"/>
    <field x="2"/>
    <field x="3"/>
  </rowFields>
  <rowItems count="144">
    <i>
      <x/>
    </i>
    <i r="1">
      <x/>
    </i>
    <i r="2">
      <x/>
    </i>
    <i r="3">
      <x/>
    </i>
    <i r="1">
      <x v="1"/>
    </i>
    <i r="2">
      <x/>
    </i>
    <i r="3">
      <x/>
    </i>
    <i r="1">
      <x v="2"/>
    </i>
    <i r="2">
      <x/>
    </i>
    <i r="3">
      <x/>
    </i>
    <i r="1">
      <x v="3"/>
    </i>
    <i r="2">
      <x/>
    </i>
    <i r="3">
      <x/>
    </i>
    <i r="1">
      <x v="4"/>
    </i>
    <i r="2">
      <x/>
    </i>
    <i r="3">
      <x/>
    </i>
    <i r="1">
      <x v="5"/>
    </i>
    <i r="2">
      <x/>
    </i>
    <i r="3">
      <x/>
    </i>
    <i r="1">
      <x v="6"/>
    </i>
    <i r="2">
      <x/>
    </i>
    <i r="3">
      <x/>
    </i>
    <i r="1">
      <x v="7"/>
    </i>
    <i r="2">
      <x/>
    </i>
    <i r="3">
      <x/>
    </i>
    <i r="1">
      <x v="8"/>
    </i>
    <i r="2">
      <x/>
    </i>
    <i r="3">
      <x/>
    </i>
    <i r="1">
      <x v="9"/>
    </i>
    <i r="2">
      <x/>
    </i>
    <i r="3">
      <x/>
    </i>
    <i>
      <x v="1"/>
    </i>
    <i r="1">
      <x/>
    </i>
    <i r="2">
      <x/>
    </i>
    <i r="3">
      <x/>
    </i>
    <i r="1">
      <x v="1"/>
    </i>
    <i r="2">
      <x/>
    </i>
    <i r="3">
      <x/>
    </i>
    <i r="1">
      <x v="2"/>
    </i>
    <i r="2">
      <x/>
    </i>
    <i r="3">
      <x/>
    </i>
    <i r="1">
      <x v="10"/>
    </i>
    <i r="2">
      <x/>
    </i>
    <i r="3">
      <x/>
    </i>
    <i r="1">
      <x v="4"/>
    </i>
    <i r="2">
      <x/>
    </i>
    <i r="3">
      <x/>
    </i>
    <i r="1">
      <x v="5"/>
    </i>
    <i r="2">
      <x/>
    </i>
    <i r="3">
      <x/>
    </i>
    <i r="1">
      <x v="6"/>
    </i>
    <i r="2">
      <x/>
    </i>
    <i r="3">
      <x/>
    </i>
    <i r="1">
      <x v="7"/>
    </i>
    <i r="2">
      <x/>
    </i>
    <i r="3">
      <x/>
    </i>
    <i r="1">
      <x v="11"/>
    </i>
    <i r="2">
      <x/>
    </i>
    <i r="3">
      <x/>
    </i>
    <i r="1">
      <x v="8"/>
    </i>
    <i r="2">
      <x/>
    </i>
    <i r="3">
      <x/>
    </i>
    <i r="1">
      <x v="9"/>
    </i>
    <i r="2">
      <x/>
    </i>
    <i r="3">
      <x/>
    </i>
    <i>
      <x v="2"/>
    </i>
    <i r="1">
      <x/>
    </i>
    <i r="2">
      <x/>
    </i>
    <i r="3">
      <x/>
    </i>
    <i r="1">
      <x v="2"/>
    </i>
    <i r="2">
      <x/>
    </i>
    <i r="3">
      <x/>
    </i>
    <i r="1">
      <x v="3"/>
    </i>
    <i r="2">
      <x/>
    </i>
    <i r="3">
      <x/>
    </i>
    <i r="1">
      <x v="4"/>
    </i>
    <i r="2">
      <x/>
    </i>
    <i r="3">
      <x/>
    </i>
    <i r="1">
      <x v="5"/>
    </i>
    <i r="2">
      <x/>
    </i>
    <i r="3">
      <x/>
    </i>
    <i r="1">
      <x v="7"/>
    </i>
    <i r="2">
      <x/>
    </i>
    <i r="3">
      <x/>
    </i>
    <i r="1">
      <x v="11"/>
    </i>
    <i r="2">
      <x/>
    </i>
    <i r="3">
      <x/>
    </i>
    <i r="1">
      <x v="8"/>
    </i>
    <i r="2">
      <x/>
    </i>
    <i r="3">
      <x/>
    </i>
    <i r="1">
      <x v="9"/>
    </i>
    <i r="2">
      <x/>
    </i>
    <i r="3">
      <x/>
    </i>
    <i>
      <x v="3"/>
    </i>
    <i r="1">
      <x/>
    </i>
    <i r="2">
      <x/>
    </i>
    <i r="3">
      <x/>
    </i>
    <i r="1">
      <x v="1"/>
    </i>
    <i r="2">
      <x/>
    </i>
    <i r="3">
      <x/>
    </i>
    <i r="1">
      <x v="2"/>
    </i>
    <i r="2">
      <x/>
    </i>
    <i r="3">
      <x/>
    </i>
    <i r="1">
      <x v="10"/>
    </i>
    <i r="2">
      <x/>
    </i>
    <i r="3">
      <x/>
    </i>
    <i r="1">
      <x v="3"/>
    </i>
    <i r="2">
      <x/>
    </i>
    <i r="3">
      <x/>
    </i>
    <i r="1">
      <x v="4"/>
    </i>
    <i r="2">
      <x/>
    </i>
    <i r="3">
      <x/>
    </i>
    <i r="1">
      <x v="5"/>
    </i>
    <i r="2">
      <x/>
    </i>
    <i r="3">
      <x/>
    </i>
    <i r="1">
      <x v="6"/>
    </i>
    <i r="2">
      <x/>
    </i>
    <i r="3">
      <x/>
    </i>
    <i r="1">
      <x v="11"/>
    </i>
    <i r="2">
      <x/>
    </i>
    <i r="3">
      <x/>
    </i>
    <i>
      <x v="4"/>
    </i>
    <i r="1">
      <x v="1"/>
    </i>
    <i r="2">
      <x/>
    </i>
    <i r="3">
      <x/>
    </i>
    <i r="1">
      <x v="2"/>
    </i>
    <i r="2">
      <x/>
    </i>
    <i r="3">
      <x/>
    </i>
    <i r="1">
      <x v="3"/>
    </i>
    <i r="2">
      <x/>
    </i>
    <i r="3">
      <x/>
    </i>
    <i r="1">
      <x v="5"/>
    </i>
    <i r="2">
      <x/>
    </i>
    <i r="3">
      <x/>
    </i>
    <i r="1">
      <x v="6"/>
    </i>
    <i r="2">
      <x/>
    </i>
    <i r="3">
      <x/>
    </i>
    <i r="1">
      <x v="11"/>
    </i>
    <i r="2">
      <x/>
    </i>
    <i r="3">
      <x/>
    </i>
    <i r="1">
      <x v="8"/>
    </i>
    <i r="2">
      <x/>
    </i>
    <i r="3">
      <x/>
    </i>
    <i t="grand">
      <x/>
    </i>
  </rowItems>
  <colItems count="1">
    <i/>
  </colItems>
  <dataFields count="1">
    <dataField name="Sum of Unit_Price" fld="4" baseField="0" baseItem="0"/>
  </dataFields>
  <pivotHierarchies count="25">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0"/>
    <rowHierarchyUsage hierarchyUsage="10"/>
    <rowHierarchyUsage hierarchyUsage="1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endor Cos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9964A1-FB33-4C7C-BFE5-106D82810822}" name="PivotTable5"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U77:AA92" firstHeaderRow="1" firstDataRow="3" firstDataCol="1"/>
  <pivotFields count="5">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3">
        <item s="1" x="0"/>
        <item x="1"/>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2">
    <field x="0"/>
    <field x="3"/>
  </colFields>
  <colItems count="6">
    <i>
      <x/>
      <x/>
    </i>
    <i>
      <x v="1"/>
      <x/>
    </i>
    <i>
      <x v="2"/>
      <x/>
    </i>
    <i>
      <x v="3"/>
      <x/>
    </i>
    <i>
      <x v="4"/>
      <x/>
    </i>
    <i t="grand">
      <x/>
    </i>
  </colItems>
  <dataFields count="1">
    <dataField name="Sum of Total Cost" fld="2" baseField="0" baseItem="0"/>
  </dataFields>
  <chartFormats count="22">
    <chartFormat chart="0" format="14" series="1">
      <pivotArea type="data" outline="0" fieldPosition="0">
        <references count="3">
          <reference field="4294967294" count="1" selected="0">
            <x v="0"/>
          </reference>
          <reference field="0" count="1" selected="0">
            <x v="0"/>
          </reference>
          <reference field="3" count="1" selected="0">
            <x v="1"/>
          </reference>
        </references>
      </pivotArea>
    </chartFormat>
    <chartFormat chart="0" format="15" series="1">
      <pivotArea type="data" outline="0" fieldPosition="0">
        <references count="3">
          <reference field="4294967294" count="1" selected="0">
            <x v="0"/>
          </reference>
          <reference field="0" count="1" selected="0">
            <x v="1"/>
          </reference>
          <reference field="3" count="1" selected="0">
            <x v="1"/>
          </reference>
        </references>
      </pivotArea>
    </chartFormat>
    <chartFormat chart="0" format="16" series="1">
      <pivotArea type="data" outline="0" fieldPosition="0">
        <references count="3">
          <reference field="4294967294" count="1" selected="0">
            <x v="0"/>
          </reference>
          <reference field="0" count="1" selected="0">
            <x v="2"/>
          </reference>
          <reference field="3" count="1" selected="0">
            <x v="1"/>
          </reference>
        </references>
      </pivotArea>
    </chartFormat>
    <chartFormat chart="0" format="17" series="1">
      <pivotArea type="data" outline="0" fieldPosition="0">
        <references count="3">
          <reference field="4294967294" count="1" selected="0">
            <x v="0"/>
          </reference>
          <reference field="0" count="1" selected="0">
            <x v="3"/>
          </reference>
          <reference field="3" count="1" selected="0">
            <x v="1"/>
          </reference>
        </references>
      </pivotArea>
    </chartFormat>
    <chartFormat chart="0" format="18" series="1">
      <pivotArea type="data" outline="0" fieldPosition="0">
        <references count="3">
          <reference field="4294967294" count="1" selected="0">
            <x v="0"/>
          </reference>
          <reference field="0" count="1" selected="0">
            <x v="4"/>
          </reference>
          <reference field="3" count="1" selected="0">
            <x v="1"/>
          </reference>
        </references>
      </pivotArea>
    </chartFormat>
    <chartFormat chart="2" format="24" series="1">
      <pivotArea type="data" outline="0" fieldPosition="0">
        <references count="3">
          <reference field="4294967294" count="1" selected="0">
            <x v="0"/>
          </reference>
          <reference field="0" count="1" selected="0">
            <x v="0"/>
          </reference>
          <reference field="3" count="1" selected="0">
            <x v="1"/>
          </reference>
        </references>
      </pivotArea>
    </chartFormat>
    <chartFormat chart="2" format="25" series="1">
      <pivotArea type="data" outline="0" fieldPosition="0">
        <references count="3">
          <reference field="4294967294" count="1" selected="0">
            <x v="0"/>
          </reference>
          <reference field="0" count="1" selected="0">
            <x v="1"/>
          </reference>
          <reference field="3" count="1" selected="0">
            <x v="1"/>
          </reference>
        </references>
      </pivotArea>
    </chartFormat>
    <chartFormat chart="2" format="26" series="1">
      <pivotArea type="data" outline="0" fieldPosition="0">
        <references count="3">
          <reference field="4294967294" count="1" selected="0">
            <x v="0"/>
          </reference>
          <reference field="0" count="1" selected="0">
            <x v="2"/>
          </reference>
          <reference field="3" count="1" selected="0">
            <x v="1"/>
          </reference>
        </references>
      </pivotArea>
    </chartFormat>
    <chartFormat chart="2" format="27" series="1">
      <pivotArea type="data" outline="0" fieldPosition="0">
        <references count="3">
          <reference field="4294967294" count="1" selected="0">
            <x v="0"/>
          </reference>
          <reference field="0" count="1" selected="0">
            <x v="3"/>
          </reference>
          <reference field="3" count="1" selected="0">
            <x v="1"/>
          </reference>
        </references>
      </pivotArea>
    </chartFormat>
    <chartFormat chart="2" format="28" series="1">
      <pivotArea type="data" outline="0" fieldPosition="0">
        <references count="3">
          <reference field="4294967294" count="1" selected="0">
            <x v="0"/>
          </reference>
          <reference field="0" count="1" selected="0">
            <x v="4"/>
          </reference>
          <reference field="3" count="1" selected="0">
            <x v="1"/>
          </reference>
        </references>
      </pivotArea>
    </chartFormat>
    <chartFormat chart="2" format="29" series="1">
      <pivotArea type="data" outline="0" fieldPosition="0">
        <references count="3">
          <reference field="4294967294" count="1" selected="0">
            <x v="0"/>
          </reference>
          <reference field="0" count="1" selected="0">
            <x v="0"/>
          </reference>
          <reference field="3" count="1" selected="0">
            <x v="0"/>
          </reference>
        </references>
      </pivotArea>
    </chartFormat>
    <chartFormat chart="2" format="30" series="1">
      <pivotArea type="data" outline="0" fieldPosition="0">
        <references count="3">
          <reference field="4294967294" count="1" selected="0">
            <x v="0"/>
          </reference>
          <reference field="0" count="1" selected="0">
            <x v="1"/>
          </reference>
          <reference field="3" count="1" selected="0">
            <x v="0"/>
          </reference>
        </references>
      </pivotArea>
    </chartFormat>
    <chartFormat chart="2" format="31" series="1">
      <pivotArea type="data" outline="0" fieldPosition="0">
        <references count="3">
          <reference field="4294967294" count="1" selected="0">
            <x v="0"/>
          </reference>
          <reference field="0" count="1" selected="0">
            <x v="2"/>
          </reference>
          <reference field="3" count="1" selected="0">
            <x v="0"/>
          </reference>
        </references>
      </pivotArea>
    </chartFormat>
    <chartFormat chart="2" format="32" series="1">
      <pivotArea type="data" outline="0" fieldPosition="0">
        <references count="3">
          <reference field="4294967294" count="1" selected="0">
            <x v="0"/>
          </reference>
          <reference field="0" count="1" selected="0">
            <x v="3"/>
          </reference>
          <reference field="3" count="1" selected="0">
            <x v="0"/>
          </reference>
        </references>
      </pivotArea>
    </chartFormat>
    <chartFormat chart="2" format="33" series="1">
      <pivotArea type="data" outline="0" fieldPosition="0">
        <references count="3">
          <reference field="4294967294" count="1" selected="0">
            <x v="0"/>
          </reference>
          <reference field="0" count="1" selected="0">
            <x v="4"/>
          </reference>
          <reference field="3" count="1" selected="0">
            <x v="0"/>
          </reference>
        </references>
      </pivotArea>
    </chartFormat>
    <chartFormat chart="0" format="19" series="1">
      <pivotArea type="data" outline="0" fieldPosition="0">
        <references count="3">
          <reference field="4294967294" count="1" selected="0">
            <x v="0"/>
          </reference>
          <reference field="0" count="1" selected="0">
            <x v="0"/>
          </reference>
          <reference field="3" count="1" selected="0">
            <x v="0"/>
          </reference>
        </references>
      </pivotArea>
    </chartFormat>
    <chartFormat chart="0" format="20" series="1">
      <pivotArea type="data" outline="0" fieldPosition="0">
        <references count="3">
          <reference field="4294967294" count="1" selected="0">
            <x v="0"/>
          </reference>
          <reference field="0" count="1" selected="0">
            <x v="1"/>
          </reference>
          <reference field="3" count="1" selected="0">
            <x v="0"/>
          </reference>
        </references>
      </pivotArea>
    </chartFormat>
    <chartFormat chart="0" format="21" series="1">
      <pivotArea type="data" outline="0" fieldPosition="0">
        <references count="3">
          <reference field="4294967294" count="1" selected="0">
            <x v="0"/>
          </reference>
          <reference field="0" count="1" selected="0">
            <x v="2"/>
          </reference>
          <reference field="3" count="1" selected="0">
            <x v="0"/>
          </reference>
        </references>
      </pivotArea>
    </chartFormat>
    <chartFormat chart="0" format="22" series="1">
      <pivotArea type="data" outline="0" fieldPosition="0">
        <references count="3">
          <reference field="4294967294" count="1" selected="0">
            <x v="0"/>
          </reference>
          <reference field="0" count="1" selected="0">
            <x v="3"/>
          </reference>
          <reference field="3" count="1" selected="0">
            <x v="0"/>
          </reference>
        </references>
      </pivotArea>
    </chartFormat>
    <chartFormat chart="0" format="23" series="1">
      <pivotArea type="data" outline="0" fieldPosition="0">
        <references count="3">
          <reference field="4294967294" count="1" selected="0">
            <x v="0"/>
          </reference>
          <reference field="0" count="1" selected="0">
            <x v="4"/>
          </reference>
          <reference field="3" count="1" selected="0">
            <x v="0"/>
          </reference>
        </references>
      </pivotArea>
    </chartFormat>
    <chartFormat chart="2" format="34" series="1">
      <pivotArea type="data" outline="0" fieldPosition="0">
        <references count="3">
          <reference field="4294967294" count="1" selected="0">
            <x v="0"/>
          </reference>
          <reference field="0" count="1" selected="0">
            <x v="2"/>
          </reference>
          <reference field="3" count="1" selected="0">
            <x v="2"/>
          </reference>
        </references>
      </pivotArea>
    </chartFormat>
    <chartFormat chart="0" format="24" series="1">
      <pivotArea type="data" outline="0" fieldPosition="0">
        <references count="3">
          <reference field="4294967294" count="1" selected="0">
            <x v="0"/>
          </reference>
          <reference field="0" count="1" selected="0">
            <x v="2"/>
          </reference>
          <reference field="3" count="1" selected="0">
            <x v="2"/>
          </reference>
        </references>
      </pivotArea>
    </chartFormat>
  </chartFormats>
  <pivotHierarchies count="25">
    <pivotHierarchy multipleItemSelectionAllowed="1" dragToData="1"/>
    <pivotHierarchy dragToData="1"/>
    <pivotHierarchy dragToData="1"/>
    <pivotHierarchy multipleItemSelectionAllowed="1" dragToData="1">
      <members count="1" level="1">
        <member name="[Table1].[Item_Category].&amp;[MRO]"/>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2">
    <colHierarchyUsage hierarchyUsage="0"/>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1" xr10:uid="{BF86DC0E-170D-4013-9977-2873BDFDDC86}" sourceName="[Table1].[Item_Category]">
  <pivotTables>
    <pivotTable tabId="32" name="PivotTable1"/>
    <pivotTable tabId="16" name="PivotTable6"/>
    <pivotTable tabId="32" name="PivotTable2"/>
    <pivotTable tabId="32" name="PivotTable4"/>
    <pivotTable tabId="32" name="PivotTable3"/>
    <pivotTable tabId="32" name="PivotTable5"/>
    <pivotTable tabId="32" name="PivotTable6"/>
    <pivotTable tabId="32" name="PivotTable7"/>
  </pivotTables>
  <data>
    <olap pivotCacheId="969393895">
      <levels count="2">
        <level uniqueName="[Table1].[Item_Category].[(All)]" sourceCaption="(All)" count="0"/>
        <level uniqueName="[Table1].[Item_Category].[Item_Category]" sourceCaption="Item_Category" count="5">
          <ranges>
            <range startItem="0">
              <i n="[Table1].[Item_Category].&amp;[Electronics]" c="Electronics"/>
              <i n="[Table1].[Item_Category].&amp;[MRO]" c="MRO"/>
              <i n="[Table1].[Item_Category].&amp;[Office Supplies]" c="Office Supplies"/>
              <i n="[Table1].[Item_Category].&amp;[Packaging]" c="Packaging"/>
              <i n="[Table1].[Item_Category].&amp;[Raw Materials]" c="Raw Materials"/>
            </range>
          </ranges>
        </level>
      </levels>
      <selections count="1">
        <selection n="[Table1].[Item_Category].&amp;[MR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7FA16EB1-BB81-4DD7-B9E1-5FC02DEAF79F}" sourceName="[Table1].[Supplier]">
  <pivotTables>
    <pivotTable tabId="32" name="PivotTable1"/>
    <pivotTable tabId="16" name="PivotTable6"/>
    <pivotTable tabId="32" name="PivotTable2"/>
    <pivotTable tabId="32" name="PivotTable4"/>
    <pivotTable tabId="32" name="PivotTable3"/>
    <pivotTable tabId="32" name="PivotTable5"/>
    <pivotTable tabId="32" name="PivotTable6"/>
    <pivotTable tabId="32" name="PivotTable7"/>
  </pivotTables>
  <data>
    <olap pivotCacheId="969393895">
      <levels count="2">
        <level uniqueName="[Table1].[Supplier].[(All)]" sourceCaption="(All)" count="0"/>
        <level uniqueName="[Table1].[Supplier].[Supplier]" sourceCaption="Supplier" count="5">
          <ranges>
            <range startItem="0">
              <i n="[Table1].[Supplier].&amp;[Alpha Inc]" c="Alpha Inc"/>
              <i n="[Table1].[Supplier].&amp;[Beta Supplies]" c="Beta Supplies"/>
              <i n="[Table1].[Supplier].&amp;[Delta Logistics]" c="Delta Logistics"/>
              <i n="[Table1].[Supplier].&amp;[Epsilon Group]" c="Epsilon Group"/>
              <i n="[Table1].[Supplier].&amp;[Gamma Co]" c="Gamma Co"/>
            </range>
          </ranges>
        </level>
      </levels>
      <selections count="1">
        <selection n="[Table1].[Suppli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D1B8859-32C7-4533-8AC4-E9405771F4BE}" sourceName="[Table1].[Month]">
  <pivotTables>
    <pivotTable tabId="32" name="PivotTable1"/>
    <pivotTable tabId="16" name="PivotTable6"/>
    <pivotTable tabId="32" name="PivotTable2"/>
    <pivotTable tabId="32" name="PivotTable4"/>
    <pivotTable tabId="32" name="PivotTable3"/>
    <pivotTable tabId="32" name="PivotTable5"/>
    <pivotTable tabId="32" name="PivotTable6"/>
    <pivotTable tabId="32" name="PivotTable7"/>
  </pivotTables>
  <data>
    <olap pivotCacheId="969393895">
      <levels count="2">
        <level uniqueName="[Table1].[Month].[(All)]" sourceCaption="(All)" count="0"/>
        <level uniqueName="[Table1].[Month].[Month]" sourceCaption="Month" count="12">
          <ranges>
            <range startItem="0">
              <i n="[Table1].[Month].&amp;[April]" c="April"/>
              <i n="[Table1].[Month].&amp;[August]" c="August"/>
              <i n="[Table1].[Month].&amp;[December]" c="December"/>
              <i n="[Table1].[Month].&amp;[February]" c="February"/>
              <i n="[Table1].[Month].&amp;[January]" c="January"/>
              <i n="[Table1].[Month].&amp;[July]" c="July"/>
              <i n="[Table1].[Month].&amp;[June]" c="June"/>
              <i n="[Table1].[Month].&amp;[March]" c="March"/>
              <i n="[Table1].[Month].&amp;[May]" c="May"/>
              <i n="[Table1].[Month].&amp;[November]" c="November"/>
              <i n="[Table1].[Month].&amp;[October]" c="October"/>
              <i n="[Table1].[Month].&amp;[September]" c="September"/>
            </range>
          </ranges>
        </level>
      </levels>
      <selections count="1">
        <selection n="[Table1].[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17EAD31-CA09-47F6-9C37-F85BEFCDACB5}" sourceName="[Table1].[Year]">
  <pivotTables>
    <pivotTable tabId="32" name="PivotTable1"/>
    <pivotTable tabId="16" name="PivotTable6"/>
    <pivotTable tabId="32" name="PivotTable2"/>
    <pivotTable tabId="32" name="PivotTable4"/>
    <pivotTable tabId="32" name="PivotTable3"/>
    <pivotTable tabId="32" name="PivotTable5"/>
    <pivotTable tabId="32" name="PivotTable6"/>
    <pivotTable tabId="32" name="PivotTable7"/>
  </pivotTables>
  <data>
    <olap pivotCacheId="969393895">
      <levels count="2">
        <level uniqueName="[Table1].[Year].[(All)]" sourceCaption="(All)" count="0"/>
        <level uniqueName="[Table1].[Year].[Year]" sourceCaption="Year" count="3">
          <ranges>
            <range startItem="0">
              <i n="[Table1].[Year].&amp;[2022]" c="2022"/>
              <i n="[Table1].[Year].&amp;[2023]" c="2023"/>
              <i n="[Table1].[Year].&amp;[2024]" c="2024" nd="1"/>
            </range>
          </ranges>
        </level>
      </levels>
      <selections count="1">
        <selection n="[Table1].[Year].&amp;[2023]"/>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30B3C4E-D290-43A4-9CB8-799FA2C01163}" sourceName="Month">
  <extLst>
    <x:ext xmlns:x15="http://schemas.microsoft.com/office/spreadsheetml/2010/11/main" uri="{2F2917AC-EB37-4324-AD4E-5DD8C200BD13}">
      <x15:tableSlicerCache tableId="1" column="1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25C52A1-AC8B-4AC0-BC15-F0C8320A5FF7}" sourceName="Year">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D8FE53A-F598-4AA9-A7A4-19A11BDB2102}" cache="Slicer_Month" caption="Month" rowHeight="234950"/>
  <slicer name="Year" xr10:uid="{FBE99F4F-5BC3-4204-A1ED-29473819FC5C}"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Category" xr10:uid="{9AEFFDFA-4CC8-4699-A5A4-58E4B1CD1DAA}" cache="Slicer_Item_Category1" caption="Item_Category" level="1" style="SlicerStyleLight6" rowHeight="234950"/>
  <slicer name="Supplier" xr10:uid="{712AA189-E823-4FB0-BF45-5A5A152D5022}" cache="Slicer_Supplier1" caption="Supplier" level="1" style="SlicerStyleLight6" rowHeight="234950"/>
  <slicer name="Month 2" xr10:uid="{C6603B77-2341-49A5-B471-F7B456430154}" cache="Slicer_Month1" caption="Month" level="1" style="SlicerStyleLight6" rowHeight="234950"/>
  <slicer name="Year 2" xr10:uid="{DC1D2697-8F0D-4CDE-ACB2-27CB2DD65FC2}" cache="Slicer_Year1" caption="Year" level="1"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Category 1" xr10:uid="{63E511B9-01B7-4A9D-8C59-22452E3312D2}" cache="Slicer_Item_Category1" caption="Item_Category" level="1" style="SlicerStyleLight6" rowHeight="234950"/>
  <slicer name="Supplier 1" xr10:uid="{4ACD8129-F114-410A-847E-C20DAFEEFC0D}" cache="Slicer_Supplier1" caption="Supplier" level="1" style="SlicerStyleLight6" rowHeight="234950"/>
  <slicer name="Month 3" xr10:uid="{B9098C4D-9AFB-431B-8AD3-DB9FFFA938BB}" cache="Slicer_Month1" caption="Month" level="1" style="SlicerStyleLight6" rowHeight="234950"/>
  <slicer name="Year 3" xr10:uid="{5CBD5683-7E4B-4A3E-B7AD-E5BAD54C02A5}" cache="Slicer_Year1" caption="Year"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1CD3D1-4D8A-4666-8C85-3DBAA239916E}" name="Table1" displayName="Table1" ref="A1:L691" totalsRowShown="0">
  <autoFilter ref="A1:L691" xr:uid="{821CD3D1-4D8A-4666-8C85-3DBAA239916E}"/>
  <sortState xmlns:xlrd2="http://schemas.microsoft.com/office/spreadsheetml/2017/richdata2" ref="A4:L687">
    <sortCondition ref="A1:A691"/>
  </sortState>
  <tableColumns count="12">
    <tableColumn id="1" xr3:uid="{8F96954B-46E1-477F-B1DD-4D0140A4C845}" name="Supplier"/>
    <tableColumn id="2" xr3:uid="{3BADCFDD-B237-4CCC-8D11-34132C7AB037}" name="Order_Date" dataDxfId="170"/>
    <tableColumn id="3" xr3:uid="{28401D08-0CA9-4B8B-8095-92AFB1EB32C7}" name="Delivery_Date" dataDxfId="169"/>
    <tableColumn id="4" xr3:uid="{9F5D08F1-9C81-4D9B-9944-E0D77EB6AC71}" name="Item_Category"/>
    <tableColumn id="5" xr3:uid="{AF128B46-D155-448C-AF82-6A90CF34B1D4}" name="Quantity"/>
    <tableColumn id="6" xr3:uid="{0CDDC077-C42D-4DBD-8F26-924ECA3C2C91}" name="Unit_Price" dataDxfId="168"/>
    <tableColumn id="7" xr3:uid="{54F78C8A-F94B-4F95-9DE8-5A99A190E9CC}" name="Defective_Units"/>
    <tableColumn id="8" xr3:uid="{C701A393-1200-4D56-94DC-38AD517BB356}" name="Lead  Days">
      <calculatedColumnFormula xml:space="preserve"> C2-B2</calculatedColumnFormula>
    </tableColumn>
    <tableColumn id="9" xr3:uid="{E80C9F0E-4734-4A10-B322-2A88FC959752}" name="Total Cost" dataDxfId="167">
      <calculatedColumnFormula>F2*E2</calculatedColumnFormula>
    </tableColumn>
    <tableColumn id="10" xr3:uid="{214BDE68-4A98-49AE-BE74-7E8A2BFF30E3}" name="Defect Rate" dataDxfId="166" dataCellStyle="Percent">
      <calculatedColumnFormula>(G2/E2)</calculatedColumnFormula>
    </tableColumn>
    <tableColumn id="11" xr3:uid="{475A80DB-1FA4-408E-ADB3-94371637AC15}" name="Month" dataDxfId="165">
      <calculatedColumnFormula>TEXT(B2,"mmmm")</calculatedColumnFormula>
    </tableColumn>
    <tableColumn id="13" xr3:uid="{0E6F9A14-CA4B-4228-ADF0-EC71715FFD67}" name="Year" dataDxfId="164">
      <calculatedColumnFormula>TEXT(B2,"yyyy")</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3661-76A5-42F7-B3A4-8FCC644BB5B1}">
  <dimension ref="A1:L691"/>
  <sheetViews>
    <sheetView zoomScale="105" workbookViewId="0">
      <selection activeCell="H1" sqref="H1"/>
    </sheetView>
  </sheetViews>
  <sheetFormatPr defaultRowHeight="14.4" x14ac:dyDescent="0.3"/>
  <cols>
    <col min="1" max="1" width="24.44140625" customWidth="1"/>
    <col min="2" max="2" width="14" customWidth="1"/>
    <col min="3" max="3" width="14.21875" customWidth="1"/>
    <col min="4" max="4" width="14.77734375" customWidth="1"/>
    <col min="5" max="5" width="14.6640625" customWidth="1"/>
    <col min="6" max="6" width="11.88671875" style="8" customWidth="1"/>
    <col min="7" max="7" width="15.5546875" customWidth="1"/>
    <col min="8" max="8" width="11.44140625" customWidth="1"/>
    <col min="9" max="9" width="12.5546875" style="9" customWidth="1"/>
    <col min="10" max="10" width="12.6640625" style="12" customWidth="1"/>
    <col min="12" max="12" width="17.21875" customWidth="1"/>
  </cols>
  <sheetData>
    <row r="1" spans="1:12" x14ac:dyDescent="0.3">
      <c r="A1" t="s">
        <v>1</v>
      </c>
      <c r="B1" t="s">
        <v>2</v>
      </c>
      <c r="C1" t="s">
        <v>3</v>
      </c>
      <c r="D1" t="s">
        <v>4</v>
      </c>
      <c r="E1" t="s">
        <v>6</v>
      </c>
      <c r="F1" s="8" t="s">
        <v>7</v>
      </c>
      <c r="G1" t="s">
        <v>8</v>
      </c>
      <c r="H1" t="s">
        <v>14</v>
      </c>
      <c r="I1" s="9" t="s">
        <v>16</v>
      </c>
      <c r="J1" s="12" t="s">
        <v>19</v>
      </c>
      <c r="K1" t="s">
        <v>20</v>
      </c>
      <c r="L1" t="s">
        <v>38</v>
      </c>
    </row>
    <row r="2" spans="1:12" x14ac:dyDescent="0.3">
      <c r="A2" t="s">
        <v>46</v>
      </c>
      <c r="B2" s="1">
        <v>45216</v>
      </c>
      <c r="C2" s="1">
        <v>45224</v>
      </c>
      <c r="D2" t="s">
        <v>9</v>
      </c>
      <c r="E2">
        <v>1176</v>
      </c>
      <c r="F2" s="8">
        <v>20.13</v>
      </c>
      <c r="G2">
        <v>0</v>
      </c>
      <c r="H2">
        <f t="shared" ref="H2:H3" si="0" xml:space="preserve"> C2-B2</f>
        <v>8</v>
      </c>
      <c r="I2" s="9">
        <f>F2*E2</f>
        <v>23672.879999999997</v>
      </c>
      <c r="J2" s="11">
        <f>(G2/E2)</f>
        <v>0</v>
      </c>
      <c r="K2" t="str">
        <f>TEXT(B2,"mmmm")</f>
        <v>October</v>
      </c>
      <c r="L2" t="str">
        <f t="shared" ref="L2:L3" si="1">TEXT(B2,"yyyy")</f>
        <v>2023</v>
      </c>
    </row>
    <row r="3" spans="1:12" x14ac:dyDescent="0.3">
      <c r="A3" t="s">
        <v>48</v>
      </c>
      <c r="B3" s="1">
        <v>44676</v>
      </c>
      <c r="C3" s="1">
        <v>44686</v>
      </c>
      <c r="D3" t="s">
        <v>9</v>
      </c>
      <c r="E3">
        <v>1509</v>
      </c>
      <c r="F3" s="8">
        <v>39.32</v>
      </c>
      <c r="G3">
        <v>235</v>
      </c>
      <c r="H3">
        <f t="shared" si="0"/>
        <v>10</v>
      </c>
      <c r="I3" s="9">
        <f t="shared" ref="I3" si="2">F3*E3</f>
        <v>59333.88</v>
      </c>
      <c r="J3" s="11">
        <f t="shared" ref="J3" si="3">(G3/E3)</f>
        <v>0.15573227302849568</v>
      </c>
      <c r="K3" t="str">
        <f t="shared" ref="K3" si="4">TEXT(B3,"mmmm")</f>
        <v>April</v>
      </c>
      <c r="L3" t="str">
        <f t="shared" si="1"/>
        <v>2022</v>
      </c>
    </row>
    <row r="4" spans="1:12" x14ac:dyDescent="0.3">
      <c r="A4" t="s">
        <v>46</v>
      </c>
      <c r="B4" s="1">
        <v>44568</v>
      </c>
      <c r="C4" s="1">
        <v>44576</v>
      </c>
      <c r="D4" t="s">
        <v>9</v>
      </c>
      <c r="E4">
        <v>1234</v>
      </c>
      <c r="F4" s="8">
        <v>17.64</v>
      </c>
      <c r="G4">
        <v>26</v>
      </c>
      <c r="H4">
        <f t="shared" ref="H4:H67" si="5" xml:space="preserve"> C4-B4</f>
        <v>8</v>
      </c>
      <c r="I4" s="9">
        <f t="shared" ref="I4:I67" si="6">F4*E4</f>
        <v>21767.760000000002</v>
      </c>
      <c r="J4" s="11">
        <f t="shared" ref="J4:J67" si="7">(G4/E4)</f>
        <v>2.1069692058346839E-2</v>
      </c>
      <c r="K4" t="str">
        <f t="shared" ref="K4:K67" si="8">TEXT(B4,"mmmm")</f>
        <v>January</v>
      </c>
      <c r="L4" t="str">
        <f t="shared" ref="L4:L67" si="9">TEXT(B4,"yyyy")</f>
        <v>2022</v>
      </c>
    </row>
    <row r="5" spans="1:12" x14ac:dyDescent="0.3">
      <c r="A5" t="s">
        <v>47</v>
      </c>
      <c r="B5" s="1">
        <v>44843</v>
      </c>
      <c r="C5" s="1">
        <v>44862</v>
      </c>
      <c r="D5" t="s">
        <v>11</v>
      </c>
      <c r="E5">
        <v>1344</v>
      </c>
      <c r="F5" s="8">
        <v>99.85</v>
      </c>
      <c r="G5">
        <v>112</v>
      </c>
      <c r="H5">
        <f t="shared" si="5"/>
        <v>19</v>
      </c>
      <c r="I5" s="9">
        <f t="shared" si="6"/>
        <v>134198.39999999999</v>
      </c>
      <c r="J5" s="11">
        <f t="shared" si="7"/>
        <v>8.3333333333333329E-2</v>
      </c>
      <c r="K5" t="str">
        <f t="shared" si="8"/>
        <v>October</v>
      </c>
      <c r="L5" t="str">
        <f t="shared" si="9"/>
        <v>2022</v>
      </c>
    </row>
    <row r="6" spans="1:12" x14ac:dyDescent="0.3">
      <c r="A6" t="s">
        <v>48</v>
      </c>
      <c r="B6" s="1">
        <v>44812</v>
      </c>
      <c r="C6" s="1">
        <v>44824</v>
      </c>
      <c r="D6" t="s">
        <v>12</v>
      </c>
      <c r="E6">
        <v>1180</v>
      </c>
      <c r="F6" s="8">
        <v>64.069999999999993</v>
      </c>
      <c r="G6">
        <v>171</v>
      </c>
      <c r="H6">
        <f t="shared" si="5"/>
        <v>12</v>
      </c>
      <c r="I6" s="9">
        <f t="shared" si="6"/>
        <v>75602.599999999991</v>
      </c>
      <c r="J6" s="11">
        <f t="shared" si="7"/>
        <v>0.14491525423728813</v>
      </c>
      <c r="K6" t="str">
        <f t="shared" si="8"/>
        <v>September</v>
      </c>
      <c r="L6" t="str">
        <f t="shared" si="9"/>
        <v>2022</v>
      </c>
    </row>
    <row r="7" spans="1:12" x14ac:dyDescent="0.3">
      <c r="A7" t="s">
        <v>49</v>
      </c>
      <c r="B7" s="1">
        <v>44790</v>
      </c>
      <c r="C7" s="1">
        <v>44802</v>
      </c>
      <c r="D7" t="s">
        <v>10</v>
      </c>
      <c r="E7">
        <v>1145</v>
      </c>
      <c r="F7" s="8">
        <v>69.209999999999994</v>
      </c>
      <c r="G7">
        <v>39</v>
      </c>
      <c r="H7">
        <f t="shared" si="5"/>
        <v>12</v>
      </c>
      <c r="I7" s="9">
        <f t="shared" si="6"/>
        <v>79245.45</v>
      </c>
      <c r="J7" s="11">
        <f t="shared" si="7"/>
        <v>3.4061135371179038E-2</v>
      </c>
      <c r="K7" t="str">
        <f t="shared" si="8"/>
        <v>August</v>
      </c>
      <c r="L7" t="str">
        <f t="shared" si="9"/>
        <v>2022</v>
      </c>
    </row>
    <row r="8" spans="1:12" x14ac:dyDescent="0.3">
      <c r="A8" t="s">
        <v>50</v>
      </c>
      <c r="B8" s="1">
        <v>44704</v>
      </c>
      <c r="C8" s="1">
        <v>44715</v>
      </c>
      <c r="D8" t="s">
        <v>10</v>
      </c>
      <c r="E8">
        <v>1774</v>
      </c>
      <c r="F8" s="8">
        <v>51.37</v>
      </c>
      <c r="G8">
        <v>96</v>
      </c>
      <c r="H8">
        <f t="shared" si="5"/>
        <v>11</v>
      </c>
      <c r="I8" s="9">
        <f t="shared" si="6"/>
        <v>91130.37999999999</v>
      </c>
      <c r="J8" s="11">
        <f t="shared" si="7"/>
        <v>5.4114994363021418E-2</v>
      </c>
      <c r="K8" t="str">
        <f t="shared" si="8"/>
        <v>May</v>
      </c>
      <c r="L8" t="str">
        <f t="shared" si="9"/>
        <v>2022</v>
      </c>
    </row>
    <row r="9" spans="1:12" x14ac:dyDescent="0.3">
      <c r="A9" t="s">
        <v>46</v>
      </c>
      <c r="B9" s="1">
        <v>44666</v>
      </c>
      <c r="C9" s="1">
        <v>44680</v>
      </c>
      <c r="D9" t="s">
        <v>10</v>
      </c>
      <c r="E9">
        <v>1094</v>
      </c>
      <c r="F9" s="8">
        <v>36.93</v>
      </c>
      <c r="G9">
        <v>22</v>
      </c>
      <c r="H9">
        <f t="shared" si="5"/>
        <v>14</v>
      </c>
      <c r="I9" s="9">
        <f t="shared" si="6"/>
        <v>40401.42</v>
      </c>
      <c r="J9" s="11">
        <f t="shared" si="7"/>
        <v>2.0109689213893969E-2</v>
      </c>
      <c r="K9" t="str">
        <f t="shared" si="8"/>
        <v>April</v>
      </c>
      <c r="L9" t="str">
        <f t="shared" si="9"/>
        <v>2022</v>
      </c>
    </row>
    <row r="10" spans="1:12" x14ac:dyDescent="0.3">
      <c r="A10" t="s">
        <v>50</v>
      </c>
      <c r="B10" s="1">
        <v>45254</v>
      </c>
      <c r="C10" s="1">
        <v>45258</v>
      </c>
      <c r="D10" t="s">
        <v>12</v>
      </c>
      <c r="E10">
        <v>1688</v>
      </c>
      <c r="F10" s="8">
        <v>43.93</v>
      </c>
      <c r="G10">
        <v>89</v>
      </c>
      <c r="H10">
        <f t="shared" si="5"/>
        <v>4</v>
      </c>
      <c r="I10" s="9">
        <f t="shared" si="6"/>
        <v>74153.84</v>
      </c>
      <c r="J10" s="11">
        <f t="shared" si="7"/>
        <v>5.2725118483412325E-2</v>
      </c>
      <c r="K10" t="str">
        <f t="shared" si="8"/>
        <v>November</v>
      </c>
      <c r="L10" t="str">
        <f t="shared" si="9"/>
        <v>2023</v>
      </c>
    </row>
    <row r="11" spans="1:12" x14ac:dyDescent="0.3">
      <c r="A11" t="s">
        <v>50</v>
      </c>
      <c r="B11" s="1">
        <v>45120</v>
      </c>
      <c r="C11" s="1">
        <v>45132</v>
      </c>
      <c r="D11" t="s">
        <v>12</v>
      </c>
      <c r="E11">
        <v>171</v>
      </c>
      <c r="F11" s="8">
        <v>76.87</v>
      </c>
      <c r="G11">
        <v>8</v>
      </c>
      <c r="H11">
        <f t="shared" si="5"/>
        <v>12</v>
      </c>
      <c r="I11" s="9">
        <f t="shared" si="6"/>
        <v>13144.77</v>
      </c>
      <c r="J11" s="11">
        <f t="shared" si="7"/>
        <v>4.6783625730994149E-2</v>
      </c>
      <c r="K11" t="str">
        <f t="shared" si="8"/>
        <v>July</v>
      </c>
      <c r="L11" t="str">
        <f t="shared" si="9"/>
        <v>2023</v>
      </c>
    </row>
    <row r="12" spans="1:12" x14ac:dyDescent="0.3">
      <c r="A12" t="s">
        <v>49</v>
      </c>
      <c r="B12" s="1">
        <v>44651</v>
      </c>
      <c r="C12" s="1">
        <v>44666</v>
      </c>
      <c r="D12" t="s">
        <v>12</v>
      </c>
      <c r="E12">
        <v>5000</v>
      </c>
      <c r="F12" s="8">
        <v>78.489999999999995</v>
      </c>
      <c r="G12">
        <v>18</v>
      </c>
      <c r="H12">
        <f t="shared" si="5"/>
        <v>15</v>
      </c>
      <c r="I12" s="9">
        <f t="shared" si="6"/>
        <v>392450</v>
      </c>
      <c r="J12" s="11">
        <f t="shared" si="7"/>
        <v>3.5999999999999999E-3</v>
      </c>
      <c r="K12" t="str">
        <f t="shared" si="8"/>
        <v>March</v>
      </c>
      <c r="L12" t="str">
        <f t="shared" si="9"/>
        <v>2022</v>
      </c>
    </row>
    <row r="13" spans="1:12" x14ac:dyDescent="0.3">
      <c r="A13" t="s">
        <v>47</v>
      </c>
      <c r="B13" s="1">
        <v>45166</v>
      </c>
      <c r="C13" s="1">
        <v>45180</v>
      </c>
      <c r="D13" t="s">
        <v>12</v>
      </c>
      <c r="E13">
        <v>5000</v>
      </c>
      <c r="F13" s="8">
        <v>88.96</v>
      </c>
      <c r="G13">
        <v>115</v>
      </c>
      <c r="H13">
        <f t="shared" si="5"/>
        <v>14</v>
      </c>
      <c r="I13" s="9">
        <f t="shared" si="6"/>
        <v>444799.99999999994</v>
      </c>
      <c r="J13" s="11">
        <f t="shared" si="7"/>
        <v>2.3E-2</v>
      </c>
      <c r="K13" t="str">
        <f t="shared" si="8"/>
        <v>August</v>
      </c>
      <c r="L13" t="str">
        <f t="shared" si="9"/>
        <v>2023</v>
      </c>
    </row>
    <row r="14" spans="1:12" x14ac:dyDescent="0.3">
      <c r="A14" t="s">
        <v>47</v>
      </c>
      <c r="B14" s="1">
        <v>44994</v>
      </c>
      <c r="C14" s="1">
        <v>45011</v>
      </c>
      <c r="D14" t="s">
        <v>13</v>
      </c>
      <c r="E14">
        <v>5000</v>
      </c>
      <c r="F14" s="8">
        <v>86.74</v>
      </c>
      <c r="G14">
        <v>51</v>
      </c>
      <c r="H14">
        <f t="shared" si="5"/>
        <v>17</v>
      </c>
      <c r="I14" s="9">
        <f t="shared" si="6"/>
        <v>433700</v>
      </c>
      <c r="J14" s="11">
        <f t="shared" si="7"/>
        <v>1.0200000000000001E-2</v>
      </c>
      <c r="K14" t="str">
        <f t="shared" si="8"/>
        <v>March</v>
      </c>
      <c r="L14" t="str">
        <f t="shared" si="9"/>
        <v>2023</v>
      </c>
    </row>
    <row r="15" spans="1:12" x14ac:dyDescent="0.3">
      <c r="A15" t="s">
        <v>46</v>
      </c>
      <c r="B15" s="1">
        <v>44949</v>
      </c>
      <c r="C15" s="1">
        <v>44959</v>
      </c>
      <c r="D15" t="s">
        <v>10</v>
      </c>
      <c r="E15">
        <v>1949</v>
      </c>
      <c r="F15" s="8">
        <v>72.53</v>
      </c>
      <c r="G15">
        <v>48</v>
      </c>
      <c r="H15">
        <f t="shared" si="5"/>
        <v>10</v>
      </c>
      <c r="I15" s="9">
        <f t="shared" si="6"/>
        <v>141360.97</v>
      </c>
      <c r="J15" s="11">
        <f t="shared" si="7"/>
        <v>2.4628014366341714E-2</v>
      </c>
      <c r="K15" t="str">
        <f t="shared" si="8"/>
        <v>January</v>
      </c>
      <c r="L15" t="str">
        <f t="shared" si="9"/>
        <v>2023</v>
      </c>
    </row>
    <row r="16" spans="1:12" x14ac:dyDescent="0.3">
      <c r="A16" t="s">
        <v>47</v>
      </c>
      <c r="B16" s="1">
        <v>44657</v>
      </c>
      <c r="C16" s="1">
        <v>44672</v>
      </c>
      <c r="D16" t="s">
        <v>11</v>
      </c>
      <c r="E16">
        <v>5000</v>
      </c>
      <c r="F16" s="8">
        <v>15.41</v>
      </c>
      <c r="G16">
        <v>0</v>
      </c>
      <c r="H16">
        <f t="shared" si="5"/>
        <v>15</v>
      </c>
      <c r="I16" s="9">
        <f t="shared" si="6"/>
        <v>77050</v>
      </c>
      <c r="J16" s="11">
        <f t="shared" si="7"/>
        <v>0</v>
      </c>
      <c r="K16" t="str">
        <f t="shared" si="8"/>
        <v>April</v>
      </c>
      <c r="L16" t="str">
        <f t="shared" si="9"/>
        <v>2022</v>
      </c>
    </row>
    <row r="17" spans="1:12" x14ac:dyDescent="0.3">
      <c r="A17" t="s">
        <v>48</v>
      </c>
      <c r="B17" s="1">
        <v>44785</v>
      </c>
      <c r="C17" s="1">
        <v>44804</v>
      </c>
      <c r="D17" t="s">
        <v>10</v>
      </c>
      <c r="E17">
        <v>1173</v>
      </c>
      <c r="F17" s="8">
        <v>61.54</v>
      </c>
      <c r="G17">
        <v>172</v>
      </c>
      <c r="H17">
        <f t="shared" si="5"/>
        <v>19</v>
      </c>
      <c r="I17" s="9">
        <f t="shared" si="6"/>
        <v>72186.42</v>
      </c>
      <c r="J17" s="11">
        <f t="shared" si="7"/>
        <v>0.14663256606990621</v>
      </c>
      <c r="K17" t="str">
        <f t="shared" si="8"/>
        <v>August</v>
      </c>
      <c r="L17" t="str">
        <f t="shared" si="9"/>
        <v>2022</v>
      </c>
    </row>
    <row r="18" spans="1:12" x14ac:dyDescent="0.3">
      <c r="A18" t="s">
        <v>49</v>
      </c>
      <c r="B18" s="1">
        <v>44800</v>
      </c>
      <c r="C18" s="1">
        <v>44808</v>
      </c>
      <c r="D18" t="s">
        <v>12</v>
      </c>
      <c r="E18">
        <v>921</v>
      </c>
      <c r="F18" s="8">
        <v>51.48</v>
      </c>
      <c r="G18">
        <v>0</v>
      </c>
      <c r="H18">
        <f t="shared" si="5"/>
        <v>8</v>
      </c>
      <c r="I18" s="9">
        <f t="shared" si="6"/>
        <v>47413.079999999994</v>
      </c>
      <c r="J18" s="11">
        <f t="shared" si="7"/>
        <v>0</v>
      </c>
      <c r="K18" t="str">
        <f t="shared" si="8"/>
        <v>August</v>
      </c>
      <c r="L18" t="str">
        <f t="shared" si="9"/>
        <v>2022</v>
      </c>
    </row>
    <row r="19" spans="1:12" x14ac:dyDescent="0.3">
      <c r="A19" t="s">
        <v>50</v>
      </c>
      <c r="B19" s="1">
        <v>45079</v>
      </c>
      <c r="C19" s="1">
        <v>45082</v>
      </c>
      <c r="D19" t="s">
        <v>12</v>
      </c>
      <c r="E19">
        <v>1737</v>
      </c>
      <c r="F19" s="8">
        <v>97.53</v>
      </c>
      <c r="G19">
        <v>79</v>
      </c>
      <c r="H19">
        <f t="shared" si="5"/>
        <v>3</v>
      </c>
      <c r="I19" s="9">
        <f t="shared" si="6"/>
        <v>169409.61000000002</v>
      </c>
      <c r="J19" s="11">
        <f t="shared" si="7"/>
        <v>4.5480713874496259E-2</v>
      </c>
      <c r="K19" t="str">
        <f t="shared" si="8"/>
        <v>June</v>
      </c>
      <c r="L19" t="str">
        <f t="shared" si="9"/>
        <v>2023</v>
      </c>
    </row>
    <row r="20" spans="1:12" x14ac:dyDescent="0.3">
      <c r="A20" t="s">
        <v>48</v>
      </c>
      <c r="B20" s="1">
        <v>45178</v>
      </c>
      <c r="C20" s="1">
        <v>45193</v>
      </c>
      <c r="D20" t="s">
        <v>12</v>
      </c>
      <c r="E20">
        <v>180</v>
      </c>
      <c r="F20" s="8">
        <v>45.74</v>
      </c>
      <c r="G20">
        <v>0</v>
      </c>
      <c r="H20">
        <f t="shared" si="5"/>
        <v>15</v>
      </c>
      <c r="I20" s="9">
        <f t="shared" si="6"/>
        <v>8233.2000000000007</v>
      </c>
      <c r="J20" s="11">
        <f t="shared" si="7"/>
        <v>0</v>
      </c>
      <c r="K20" t="str">
        <f t="shared" si="8"/>
        <v>September</v>
      </c>
      <c r="L20" t="str">
        <f t="shared" si="9"/>
        <v>2023</v>
      </c>
    </row>
    <row r="21" spans="1:12" x14ac:dyDescent="0.3">
      <c r="A21" t="s">
        <v>46</v>
      </c>
      <c r="B21" s="1">
        <v>44951</v>
      </c>
      <c r="C21" s="1">
        <v>44965</v>
      </c>
      <c r="D21" t="s">
        <v>10</v>
      </c>
      <c r="E21">
        <v>826</v>
      </c>
      <c r="F21" s="8">
        <v>60.5</v>
      </c>
      <c r="G21">
        <v>18</v>
      </c>
      <c r="H21">
        <f t="shared" si="5"/>
        <v>14</v>
      </c>
      <c r="I21" s="9">
        <f t="shared" si="6"/>
        <v>49973</v>
      </c>
      <c r="J21" s="11">
        <f t="shared" si="7"/>
        <v>2.1791767554479417E-2</v>
      </c>
      <c r="K21" t="str">
        <f t="shared" si="8"/>
        <v>January</v>
      </c>
      <c r="L21" t="str">
        <f t="shared" si="9"/>
        <v>2023</v>
      </c>
    </row>
    <row r="22" spans="1:12" x14ac:dyDescent="0.3">
      <c r="A22" t="s">
        <v>48</v>
      </c>
      <c r="B22" s="1">
        <v>45136</v>
      </c>
      <c r="C22" s="1">
        <v>45149</v>
      </c>
      <c r="D22" t="s">
        <v>12</v>
      </c>
      <c r="E22">
        <v>1382</v>
      </c>
      <c r="F22" s="8">
        <v>24.93</v>
      </c>
      <c r="G22">
        <v>0</v>
      </c>
      <c r="H22">
        <f t="shared" si="5"/>
        <v>13</v>
      </c>
      <c r="I22" s="9">
        <f t="shared" si="6"/>
        <v>34453.26</v>
      </c>
      <c r="J22" s="11">
        <f t="shared" si="7"/>
        <v>0</v>
      </c>
      <c r="K22" t="str">
        <f t="shared" si="8"/>
        <v>July</v>
      </c>
      <c r="L22" t="str">
        <f t="shared" si="9"/>
        <v>2023</v>
      </c>
    </row>
    <row r="23" spans="1:12" x14ac:dyDescent="0.3">
      <c r="A23" t="s">
        <v>49</v>
      </c>
      <c r="B23" s="1">
        <v>44765</v>
      </c>
      <c r="C23" s="1">
        <v>44781</v>
      </c>
      <c r="D23" t="s">
        <v>10</v>
      </c>
      <c r="E23">
        <v>819</v>
      </c>
      <c r="F23" s="8">
        <v>80.89</v>
      </c>
      <c r="G23">
        <v>29</v>
      </c>
      <c r="H23">
        <f t="shared" si="5"/>
        <v>16</v>
      </c>
      <c r="I23" s="9">
        <f t="shared" si="6"/>
        <v>66248.91</v>
      </c>
      <c r="J23" s="11">
        <f t="shared" si="7"/>
        <v>3.5409035409035408E-2</v>
      </c>
      <c r="K23" t="str">
        <f t="shared" si="8"/>
        <v>July</v>
      </c>
      <c r="L23" t="str">
        <f t="shared" si="9"/>
        <v>2022</v>
      </c>
    </row>
    <row r="24" spans="1:12" x14ac:dyDescent="0.3">
      <c r="A24" t="s">
        <v>47</v>
      </c>
      <c r="B24" s="1">
        <v>45227</v>
      </c>
      <c r="C24" s="1">
        <v>45233</v>
      </c>
      <c r="D24" t="s">
        <v>9</v>
      </c>
      <c r="E24">
        <v>393</v>
      </c>
      <c r="F24" s="8">
        <v>72.53</v>
      </c>
      <c r="G24">
        <v>42</v>
      </c>
      <c r="H24">
        <f t="shared" si="5"/>
        <v>6</v>
      </c>
      <c r="I24" s="9">
        <f t="shared" si="6"/>
        <v>28504.29</v>
      </c>
      <c r="J24" s="11">
        <f t="shared" si="7"/>
        <v>0.10687022900763359</v>
      </c>
      <c r="K24" t="str">
        <f t="shared" si="8"/>
        <v>October</v>
      </c>
      <c r="L24" t="str">
        <f t="shared" si="9"/>
        <v>2023</v>
      </c>
    </row>
    <row r="25" spans="1:12" x14ac:dyDescent="0.3">
      <c r="A25" t="s">
        <v>47</v>
      </c>
      <c r="B25" s="1">
        <v>45280</v>
      </c>
      <c r="C25" s="1">
        <v>45292</v>
      </c>
      <c r="D25" t="s">
        <v>10</v>
      </c>
      <c r="E25">
        <v>1565</v>
      </c>
      <c r="F25" s="8">
        <v>21.3</v>
      </c>
      <c r="G25">
        <v>161</v>
      </c>
      <c r="H25">
        <f t="shared" si="5"/>
        <v>12</v>
      </c>
      <c r="I25" s="9">
        <f t="shared" si="6"/>
        <v>33334.5</v>
      </c>
      <c r="J25" s="11">
        <f t="shared" si="7"/>
        <v>0.10287539936102237</v>
      </c>
      <c r="K25" t="str">
        <f t="shared" si="8"/>
        <v>December</v>
      </c>
      <c r="L25" t="str">
        <f t="shared" si="9"/>
        <v>2023</v>
      </c>
    </row>
    <row r="26" spans="1:12" x14ac:dyDescent="0.3">
      <c r="A26" t="s">
        <v>49</v>
      </c>
      <c r="B26" s="1">
        <v>45120</v>
      </c>
      <c r="C26" s="1">
        <v>45131</v>
      </c>
      <c r="D26" t="s">
        <v>11</v>
      </c>
      <c r="E26">
        <v>1487</v>
      </c>
      <c r="F26" s="8">
        <v>19.149999999999999</v>
      </c>
      <c r="G26">
        <v>0</v>
      </c>
      <c r="H26">
        <f t="shared" si="5"/>
        <v>11</v>
      </c>
      <c r="I26" s="9">
        <f t="shared" si="6"/>
        <v>28476.05</v>
      </c>
      <c r="J26" s="11">
        <f t="shared" si="7"/>
        <v>0</v>
      </c>
      <c r="K26" t="str">
        <f t="shared" si="8"/>
        <v>July</v>
      </c>
      <c r="L26" t="str">
        <f t="shared" si="9"/>
        <v>2023</v>
      </c>
    </row>
    <row r="27" spans="1:12" x14ac:dyDescent="0.3">
      <c r="A27" t="s">
        <v>46</v>
      </c>
      <c r="B27" s="1">
        <v>44991</v>
      </c>
      <c r="C27" s="1">
        <v>45011</v>
      </c>
      <c r="D27" t="s">
        <v>10</v>
      </c>
      <c r="E27">
        <v>855</v>
      </c>
      <c r="F27" s="8">
        <v>78.2</v>
      </c>
      <c r="G27">
        <v>17</v>
      </c>
      <c r="H27">
        <f t="shared" si="5"/>
        <v>20</v>
      </c>
      <c r="I27" s="9">
        <f t="shared" si="6"/>
        <v>66861</v>
      </c>
      <c r="J27" s="11">
        <f t="shared" si="7"/>
        <v>1.9883040935672516E-2</v>
      </c>
      <c r="K27" t="str">
        <f t="shared" si="8"/>
        <v>March</v>
      </c>
      <c r="L27" t="str">
        <f t="shared" si="9"/>
        <v>2023</v>
      </c>
    </row>
    <row r="28" spans="1:12" x14ac:dyDescent="0.3">
      <c r="A28" t="s">
        <v>49</v>
      </c>
      <c r="B28" s="1">
        <v>44787</v>
      </c>
      <c r="C28" s="1">
        <v>44796</v>
      </c>
      <c r="D28" t="s">
        <v>12</v>
      </c>
      <c r="E28">
        <v>435</v>
      </c>
      <c r="F28" s="8">
        <v>17.13</v>
      </c>
      <c r="G28">
        <v>8</v>
      </c>
      <c r="H28">
        <f t="shared" si="5"/>
        <v>9</v>
      </c>
      <c r="I28" s="9">
        <f t="shared" si="6"/>
        <v>7451.5499999999993</v>
      </c>
      <c r="J28" s="11">
        <f t="shared" si="7"/>
        <v>1.8390804597701149E-2</v>
      </c>
      <c r="K28" t="str">
        <f t="shared" si="8"/>
        <v>August</v>
      </c>
      <c r="L28" t="str">
        <f t="shared" si="9"/>
        <v>2022</v>
      </c>
    </row>
    <row r="29" spans="1:12" x14ac:dyDescent="0.3">
      <c r="A29" t="s">
        <v>48</v>
      </c>
      <c r="B29" s="1">
        <v>45021</v>
      </c>
      <c r="C29" s="1">
        <v>45038</v>
      </c>
      <c r="D29" t="s">
        <v>10</v>
      </c>
      <c r="E29">
        <v>1265</v>
      </c>
      <c r="F29" s="8">
        <v>90.26</v>
      </c>
      <c r="G29">
        <v>187</v>
      </c>
      <c r="H29">
        <f t="shared" si="5"/>
        <v>17</v>
      </c>
      <c r="I29" s="9">
        <f t="shared" si="6"/>
        <v>114178.90000000001</v>
      </c>
      <c r="J29" s="11">
        <f t="shared" si="7"/>
        <v>0.14782608695652175</v>
      </c>
      <c r="K29" t="str">
        <f t="shared" si="8"/>
        <v>April</v>
      </c>
      <c r="L29" t="str">
        <f t="shared" si="9"/>
        <v>2023</v>
      </c>
    </row>
    <row r="30" spans="1:12" x14ac:dyDescent="0.3">
      <c r="A30" t="s">
        <v>50</v>
      </c>
      <c r="B30" s="1">
        <v>44846</v>
      </c>
      <c r="C30" s="1">
        <v>44860</v>
      </c>
      <c r="D30" t="s">
        <v>13</v>
      </c>
      <c r="E30">
        <v>326</v>
      </c>
      <c r="F30" s="8">
        <v>18.100000000000001</v>
      </c>
      <c r="G30">
        <v>0</v>
      </c>
      <c r="H30">
        <f t="shared" si="5"/>
        <v>14</v>
      </c>
      <c r="I30" s="9">
        <f t="shared" si="6"/>
        <v>5900.6</v>
      </c>
      <c r="J30" s="11">
        <f t="shared" si="7"/>
        <v>0</v>
      </c>
      <c r="K30" t="str">
        <f t="shared" si="8"/>
        <v>October</v>
      </c>
      <c r="L30" t="str">
        <f t="shared" si="9"/>
        <v>2022</v>
      </c>
    </row>
    <row r="31" spans="1:12" x14ac:dyDescent="0.3">
      <c r="A31" t="s">
        <v>46</v>
      </c>
      <c r="B31" s="1">
        <v>44941</v>
      </c>
      <c r="C31" s="1">
        <v>44961</v>
      </c>
      <c r="D31" t="s">
        <v>9</v>
      </c>
      <c r="E31">
        <v>1440</v>
      </c>
      <c r="F31" s="8">
        <v>96.57</v>
      </c>
      <c r="G31">
        <v>36</v>
      </c>
      <c r="H31">
        <f t="shared" si="5"/>
        <v>20</v>
      </c>
      <c r="I31" s="9">
        <f t="shared" si="6"/>
        <v>139060.79999999999</v>
      </c>
      <c r="J31" s="11">
        <f t="shared" si="7"/>
        <v>2.5000000000000001E-2</v>
      </c>
      <c r="K31" t="str">
        <f t="shared" si="8"/>
        <v>January</v>
      </c>
      <c r="L31" t="str">
        <f t="shared" si="9"/>
        <v>2023</v>
      </c>
    </row>
    <row r="32" spans="1:12" x14ac:dyDescent="0.3">
      <c r="A32" t="s">
        <v>49</v>
      </c>
      <c r="B32" s="1">
        <v>44725</v>
      </c>
      <c r="C32" s="1">
        <v>44741</v>
      </c>
      <c r="D32" t="s">
        <v>10</v>
      </c>
      <c r="E32">
        <v>509</v>
      </c>
      <c r="F32" s="8">
        <v>101.27</v>
      </c>
      <c r="G32">
        <v>19</v>
      </c>
      <c r="H32">
        <f t="shared" si="5"/>
        <v>16</v>
      </c>
      <c r="I32" s="9">
        <f t="shared" si="6"/>
        <v>51546.43</v>
      </c>
      <c r="J32" s="11">
        <f t="shared" si="7"/>
        <v>3.732809430255403E-2</v>
      </c>
      <c r="K32" t="str">
        <f t="shared" si="8"/>
        <v>June</v>
      </c>
      <c r="L32" t="str">
        <f t="shared" si="9"/>
        <v>2022</v>
      </c>
    </row>
    <row r="33" spans="1:12" x14ac:dyDescent="0.3">
      <c r="A33" t="s">
        <v>46</v>
      </c>
      <c r="B33" s="1">
        <v>45276</v>
      </c>
      <c r="C33" s="1">
        <v>45277</v>
      </c>
      <c r="D33" t="s">
        <v>11</v>
      </c>
      <c r="E33">
        <v>1387</v>
      </c>
      <c r="F33" s="8">
        <v>48.71</v>
      </c>
      <c r="G33">
        <v>27</v>
      </c>
      <c r="H33">
        <f t="shared" si="5"/>
        <v>1</v>
      </c>
      <c r="I33" s="9">
        <f t="shared" si="6"/>
        <v>67560.77</v>
      </c>
      <c r="J33" s="11">
        <f t="shared" si="7"/>
        <v>1.9466474405191059E-2</v>
      </c>
      <c r="K33" t="str">
        <f t="shared" si="8"/>
        <v>December</v>
      </c>
      <c r="L33" t="str">
        <f t="shared" si="9"/>
        <v>2023</v>
      </c>
    </row>
    <row r="34" spans="1:12" x14ac:dyDescent="0.3">
      <c r="A34" t="s">
        <v>46</v>
      </c>
      <c r="B34" s="1">
        <v>44994</v>
      </c>
      <c r="C34" s="1">
        <v>45002</v>
      </c>
      <c r="D34" t="s">
        <v>10</v>
      </c>
      <c r="E34">
        <v>71</v>
      </c>
      <c r="F34" s="8">
        <v>46.39</v>
      </c>
      <c r="G34">
        <v>0</v>
      </c>
      <c r="H34">
        <f t="shared" si="5"/>
        <v>8</v>
      </c>
      <c r="I34" s="9">
        <f t="shared" si="6"/>
        <v>3293.69</v>
      </c>
      <c r="J34" s="11">
        <f t="shared" si="7"/>
        <v>0</v>
      </c>
      <c r="K34" t="str">
        <f t="shared" si="8"/>
        <v>March</v>
      </c>
      <c r="L34" t="str">
        <f t="shared" si="9"/>
        <v>2023</v>
      </c>
    </row>
    <row r="35" spans="1:12" x14ac:dyDescent="0.3">
      <c r="A35" t="s">
        <v>49</v>
      </c>
      <c r="B35" s="1">
        <v>44910</v>
      </c>
      <c r="C35" s="1">
        <v>44918</v>
      </c>
      <c r="D35" t="s">
        <v>9</v>
      </c>
      <c r="E35">
        <v>302</v>
      </c>
      <c r="F35" s="8">
        <v>87.73</v>
      </c>
      <c r="G35">
        <v>9</v>
      </c>
      <c r="H35">
        <f t="shared" si="5"/>
        <v>8</v>
      </c>
      <c r="I35" s="9">
        <f t="shared" si="6"/>
        <v>26494.460000000003</v>
      </c>
      <c r="J35" s="11">
        <f t="shared" si="7"/>
        <v>2.9801324503311258E-2</v>
      </c>
      <c r="K35" t="str">
        <f t="shared" si="8"/>
        <v>December</v>
      </c>
      <c r="L35" t="str">
        <f t="shared" si="9"/>
        <v>2022</v>
      </c>
    </row>
    <row r="36" spans="1:12" x14ac:dyDescent="0.3">
      <c r="A36" t="s">
        <v>49</v>
      </c>
      <c r="B36" s="1">
        <v>44846</v>
      </c>
      <c r="C36" s="1">
        <v>44865</v>
      </c>
      <c r="D36" t="s">
        <v>9</v>
      </c>
      <c r="E36">
        <v>797</v>
      </c>
      <c r="F36" s="8">
        <v>99.54</v>
      </c>
      <c r="G36">
        <v>18</v>
      </c>
      <c r="H36">
        <f t="shared" si="5"/>
        <v>19</v>
      </c>
      <c r="I36" s="9">
        <f t="shared" si="6"/>
        <v>79333.38</v>
      </c>
      <c r="J36" s="11">
        <f t="shared" si="7"/>
        <v>2.258469259723965E-2</v>
      </c>
      <c r="K36" t="str">
        <f t="shared" si="8"/>
        <v>October</v>
      </c>
      <c r="L36" t="str">
        <f t="shared" si="9"/>
        <v>2022</v>
      </c>
    </row>
    <row r="37" spans="1:12" x14ac:dyDescent="0.3">
      <c r="A37" t="s">
        <v>47</v>
      </c>
      <c r="B37" s="1">
        <v>44721</v>
      </c>
      <c r="C37" s="1">
        <v>44739</v>
      </c>
      <c r="D37" t="s">
        <v>9</v>
      </c>
      <c r="E37">
        <v>906</v>
      </c>
      <c r="F37" s="8">
        <v>101.21</v>
      </c>
      <c r="G37">
        <v>94</v>
      </c>
      <c r="H37">
        <f t="shared" si="5"/>
        <v>18</v>
      </c>
      <c r="I37" s="9">
        <f t="shared" si="6"/>
        <v>91696.26</v>
      </c>
      <c r="J37" s="11">
        <f t="shared" si="7"/>
        <v>0.10375275938189846</v>
      </c>
      <c r="K37" t="str">
        <f t="shared" si="8"/>
        <v>June</v>
      </c>
      <c r="L37" t="str">
        <f t="shared" si="9"/>
        <v>2022</v>
      </c>
    </row>
    <row r="38" spans="1:12" x14ac:dyDescent="0.3">
      <c r="A38" t="s">
        <v>49</v>
      </c>
      <c r="B38" s="1">
        <v>44782</v>
      </c>
      <c r="C38" s="1">
        <v>44796</v>
      </c>
      <c r="D38" t="s">
        <v>9</v>
      </c>
      <c r="E38">
        <v>1634</v>
      </c>
      <c r="F38" s="8">
        <v>80.53</v>
      </c>
      <c r="G38">
        <v>50</v>
      </c>
      <c r="H38">
        <f t="shared" si="5"/>
        <v>14</v>
      </c>
      <c r="I38" s="9">
        <f t="shared" si="6"/>
        <v>131586.01999999999</v>
      </c>
      <c r="J38" s="11">
        <f t="shared" si="7"/>
        <v>3.0599755201958383E-2</v>
      </c>
      <c r="K38" t="str">
        <f t="shared" si="8"/>
        <v>August</v>
      </c>
      <c r="L38" t="str">
        <f t="shared" si="9"/>
        <v>2022</v>
      </c>
    </row>
    <row r="39" spans="1:12" x14ac:dyDescent="0.3">
      <c r="A39" t="s">
        <v>47</v>
      </c>
      <c r="B39" s="1">
        <v>44666</v>
      </c>
      <c r="C39" s="1">
        <v>44678</v>
      </c>
      <c r="D39" t="s">
        <v>13</v>
      </c>
      <c r="E39">
        <v>1132</v>
      </c>
      <c r="F39" s="8">
        <v>17.78</v>
      </c>
      <c r="G39">
        <v>96</v>
      </c>
      <c r="H39">
        <f t="shared" si="5"/>
        <v>12</v>
      </c>
      <c r="I39" s="9">
        <f t="shared" si="6"/>
        <v>20126.960000000003</v>
      </c>
      <c r="J39" s="11">
        <f t="shared" si="7"/>
        <v>8.4805653710247356E-2</v>
      </c>
      <c r="K39" t="str">
        <f t="shared" si="8"/>
        <v>April</v>
      </c>
      <c r="L39" t="str">
        <f t="shared" si="9"/>
        <v>2022</v>
      </c>
    </row>
    <row r="40" spans="1:12" x14ac:dyDescent="0.3">
      <c r="A40" t="s">
        <v>47</v>
      </c>
      <c r="B40" s="1">
        <v>44656</v>
      </c>
      <c r="C40" s="1">
        <v>44665</v>
      </c>
      <c r="D40" t="s">
        <v>9</v>
      </c>
      <c r="E40">
        <v>560</v>
      </c>
      <c r="F40" s="8">
        <v>81.14</v>
      </c>
      <c r="G40">
        <v>34</v>
      </c>
      <c r="H40">
        <f t="shared" si="5"/>
        <v>9</v>
      </c>
      <c r="I40" s="9">
        <f t="shared" si="6"/>
        <v>45438.400000000001</v>
      </c>
      <c r="J40" s="11">
        <f t="shared" si="7"/>
        <v>6.0714285714285714E-2</v>
      </c>
      <c r="K40" t="str">
        <f t="shared" si="8"/>
        <v>April</v>
      </c>
      <c r="L40" t="str">
        <f t="shared" si="9"/>
        <v>2022</v>
      </c>
    </row>
    <row r="41" spans="1:12" x14ac:dyDescent="0.3">
      <c r="A41" t="s">
        <v>46</v>
      </c>
      <c r="B41" s="1">
        <v>44562</v>
      </c>
      <c r="C41" s="1">
        <v>44573</v>
      </c>
      <c r="D41" t="s">
        <v>13</v>
      </c>
      <c r="E41">
        <v>552</v>
      </c>
      <c r="F41" s="8">
        <v>21.52</v>
      </c>
      <c r="G41">
        <v>13</v>
      </c>
      <c r="H41">
        <f t="shared" si="5"/>
        <v>11</v>
      </c>
      <c r="I41" s="9">
        <f t="shared" si="6"/>
        <v>11879.039999999999</v>
      </c>
      <c r="J41" s="11">
        <f t="shared" si="7"/>
        <v>2.355072463768116E-2</v>
      </c>
      <c r="K41" t="str">
        <f t="shared" si="8"/>
        <v>January</v>
      </c>
      <c r="L41" t="str">
        <f t="shared" si="9"/>
        <v>2022</v>
      </c>
    </row>
    <row r="42" spans="1:12" x14ac:dyDescent="0.3">
      <c r="A42" t="s">
        <v>49</v>
      </c>
      <c r="B42" s="1">
        <v>44661</v>
      </c>
      <c r="C42" s="1">
        <v>44668</v>
      </c>
      <c r="D42" t="s">
        <v>10</v>
      </c>
      <c r="E42">
        <v>1549</v>
      </c>
      <c r="F42" s="8">
        <v>48.9</v>
      </c>
      <c r="G42">
        <v>48</v>
      </c>
      <c r="H42">
        <f t="shared" si="5"/>
        <v>7</v>
      </c>
      <c r="I42" s="9">
        <f t="shared" si="6"/>
        <v>75746.099999999991</v>
      </c>
      <c r="J42" s="11">
        <f t="shared" si="7"/>
        <v>3.0987734021949646E-2</v>
      </c>
      <c r="K42" t="str">
        <f t="shared" si="8"/>
        <v>April</v>
      </c>
      <c r="L42" t="str">
        <f t="shared" si="9"/>
        <v>2022</v>
      </c>
    </row>
    <row r="43" spans="1:12" x14ac:dyDescent="0.3">
      <c r="A43" t="s">
        <v>46</v>
      </c>
      <c r="B43" s="1">
        <v>44944</v>
      </c>
      <c r="C43" s="1">
        <v>44957</v>
      </c>
      <c r="D43" t="s">
        <v>9</v>
      </c>
      <c r="E43">
        <v>1869</v>
      </c>
      <c r="F43" s="8">
        <v>69.58</v>
      </c>
      <c r="G43">
        <v>31</v>
      </c>
      <c r="H43">
        <f t="shared" si="5"/>
        <v>13</v>
      </c>
      <c r="I43" s="9">
        <f t="shared" si="6"/>
        <v>130045.02</v>
      </c>
      <c r="J43" s="11">
        <f t="shared" si="7"/>
        <v>1.6586409844836811E-2</v>
      </c>
      <c r="K43" t="str">
        <f t="shared" si="8"/>
        <v>January</v>
      </c>
      <c r="L43" t="str">
        <f t="shared" si="9"/>
        <v>2023</v>
      </c>
    </row>
    <row r="44" spans="1:12" x14ac:dyDescent="0.3">
      <c r="A44" t="s">
        <v>47</v>
      </c>
      <c r="B44" s="1">
        <v>45180</v>
      </c>
      <c r="C44" s="1">
        <v>45187</v>
      </c>
      <c r="D44" t="s">
        <v>12</v>
      </c>
      <c r="E44">
        <v>1856</v>
      </c>
      <c r="F44" s="8">
        <v>59.77</v>
      </c>
      <c r="G44">
        <v>191</v>
      </c>
      <c r="H44">
        <f t="shared" si="5"/>
        <v>7</v>
      </c>
      <c r="I44" s="9">
        <f t="shared" si="6"/>
        <v>110933.12000000001</v>
      </c>
      <c r="J44" s="11">
        <f t="shared" si="7"/>
        <v>0.10290948275862069</v>
      </c>
      <c r="K44" t="str">
        <f t="shared" si="8"/>
        <v>September</v>
      </c>
      <c r="L44" t="str">
        <f t="shared" si="9"/>
        <v>2023</v>
      </c>
    </row>
    <row r="45" spans="1:12" x14ac:dyDescent="0.3">
      <c r="A45" t="s">
        <v>49</v>
      </c>
      <c r="B45" s="1">
        <v>44832</v>
      </c>
      <c r="C45" s="1">
        <v>44848</v>
      </c>
      <c r="D45" t="s">
        <v>9</v>
      </c>
      <c r="E45">
        <v>239</v>
      </c>
      <c r="F45" s="8">
        <v>11.46</v>
      </c>
      <c r="G45">
        <v>4</v>
      </c>
      <c r="H45">
        <f t="shared" si="5"/>
        <v>16</v>
      </c>
      <c r="I45" s="9">
        <f t="shared" si="6"/>
        <v>2738.94</v>
      </c>
      <c r="J45" s="11">
        <f t="shared" si="7"/>
        <v>1.6736401673640166E-2</v>
      </c>
      <c r="K45" t="str">
        <f t="shared" si="8"/>
        <v>September</v>
      </c>
      <c r="L45" t="str">
        <f t="shared" si="9"/>
        <v>2022</v>
      </c>
    </row>
    <row r="46" spans="1:12" x14ac:dyDescent="0.3">
      <c r="A46" t="s">
        <v>48</v>
      </c>
      <c r="B46" s="1">
        <v>44606</v>
      </c>
      <c r="C46" s="1">
        <v>44625</v>
      </c>
      <c r="D46" t="s">
        <v>9</v>
      </c>
      <c r="E46">
        <v>1007</v>
      </c>
      <c r="F46" s="8">
        <v>52.44</v>
      </c>
      <c r="G46">
        <v>167</v>
      </c>
      <c r="H46">
        <f t="shared" si="5"/>
        <v>19</v>
      </c>
      <c r="I46" s="9">
        <f t="shared" si="6"/>
        <v>52807.079999999994</v>
      </c>
      <c r="J46" s="11">
        <f t="shared" si="7"/>
        <v>0.16583912611717974</v>
      </c>
      <c r="K46" t="str">
        <f t="shared" si="8"/>
        <v>February</v>
      </c>
      <c r="L46" t="str">
        <f t="shared" si="9"/>
        <v>2022</v>
      </c>
    </row>
    <row r="47" spans="1:12" x14ac:dyDescent="0.3">
      <c r="A47" t="s">
        <v>49</v>
      </c>
      <c r="B47" s="1">
        <v>45111</v>
      </c>
      <c r="C47" s="1">
        <v>45121</v>
      </c>
      <c r="D47" t="s">
        <v>13</v>
      </c>
      <c r="E47">
        <v>1007</v>
      </c>
      <c r="F47" s="8">
        <v>22.56</v>
      </c>
      <c r="G47">
        <v>0</v>
      </c>
      <c r="H47">
        <f t="shared" si="5"/>
        <v>10</v>
      </c>
      <c r="I47" s="9">
        <f t="shared" si="6"/>
        <v>22717.919999999998</v>
      </c>
      <c r="J47" s="11">
        <f t="shared" si="7"/>
        <v>0</v>
      </c>
      <c r="K47" t="str">
        <f t="shared" si="8"/>
        <v>July</v>
      </c>
      <c r="L47" t="str">
        <f t="shared" si="9"/>
        <v>2023</v>
      </c>
    </row>
    <row r="48" spans="1:12" x14ac:dyDescent="0.3">
      <c r="A48" t="s">
        <v>46</v>
      </c>
      <c r="B48" s="1">
        <v>44564</v>
      </c>
      <c r="C48" s="1">
        <v>44581</v>
      </c>
      <c r="D48" t="s">
        <v>11</v>
      </c>
      <c r="E48">
        <v>172</v>
      </c>
      <c r="F48" s="8">
        <v>63.61</v>
      </c>
      <c r="G48">
        <v>4</v>
      </c>
      <c r="H48">
        <f t="shared" si="5"/>
        <v>17</v>
      </c>
      <c r="I48" s="9">
        <f t="shared" si="6"/>
        <v>10940.92</v>
      </c>
      <c r="J48" s="11">
        <f t="shared" si="7"/>
        <v>2.3255813953488372E-2</v>
      </c>
      <c r="K48" t="str">
        <f t="shared" si="8"/>
        <v>January</v>
      </c>
      <c r="L48" t="str">
        <f t="shared" si="9"/>
        <v>2022</v>
      </c>
    </row>
    <row r="49" spans="1:12" x14ac:dyDescent="0.3">
      <c r="A49" t="s">
        <v>48</v>
      </c>
      <c r="B49" s="1">
        <v>44642</v>
      </c>
      <c r="C49" s="1">
        <v>44648</v>
      </c>
      <c r="D49" t="s">
        <v>9</v>
      </c>
      <c r="E49">
        <v>1640</v>
      </c>
      <c r="F49" s="8">
        <v>77.92</v>
      </c>
      <c r="G49">
        <v>262</v>
      </c>
      <c r="H49">
        <f t="shared" si="5"/>
        <v>6</v>
      </c>
      <c r="I49" s="9">
        <f t="shared" si="6"/>
        <v>127788.8</v>
      </c>
      <c r="J49" s="11">
        <f t="shared" si="7"/>
        <v>0.15975609756097561</v>
      </c>
      <c r="K49" t="str">
        <f t="shared" si="8"/>
        <v>March</v>
      </c>
      <c r="L49" t="str">
        <f t="shared" si="9"/>
        <v>2022</v>
      </c>
    </row>
    <row r="50" spans="1:12" x14ac:dyDescent="0.3">
      <c r="A50" t="s">
        <v>47</v>
      </c>
      <c r="B50" s="1">
        <v>45127</v>
      </c>
      <c r="C50" s="1">
        <v>45145</v>
      </c>
      <c r="D50" t="s">
        <v>13</v>
      </c>
      <c r="E50">
        <v>1317</v>
      </c>
      <c r="F50" s="8">
        <v>68.13</v>
      </c>
      <c r="G50">
        <v>136</v>
      </c>
      <c r="H50">
        <f t="shared" si="5"/>
        <v>18</v>
      </c>
      <c r="I50" s="9">
        <f t="shared" si="6"/>
        <v>89727.209999999992</v>
      </c>
      <c r="J50" s="11">
        <f t="shared" si="7"/>
        <v>0.10326499620349279</v>
      </c>
      <c r="K50" t="str">
        <f t="shared" si="8"/>
        <v>July</v>
      </c>
      <c r="L50" t="str">
        <f t="shared" si="9"/>
        <v>2023</v>
      </c>
    </row>
    <row r="51" spans="1:12" x14ac:dyDescent="0.3">
      <c r="A51" t="s">
        <v>49</v>
      </c>
      <c r="B51" s="1">
        <v>44862</v>
      </c>
      <c r="C51" s="1">
        <v>44864</v>
      </c>
      <c r="D51" t="s">
        <v>12</v>
      </c>
      <c r="E51">
        <v>881</v>
      </c>
      <c r="F51" s="8">
        <v>100.94</v>
      </c>
      <c r="G51">
        <v>30</v>
      </c>
      <c r="H51">
        <f t="shared" si="5"/>
        <v>2</v>
      </c>
      <c r="I51" s="9">
        <f t="shared" si="6"/>
        <v>88928.14</v>
      </c>
      <c r="J51" s="11">
        <f t="shared" si="7"/>
        <v>3.4052213393870601E-2</v>
      </c>
      <c r="K51" t="str">
        <f t="shared" si="8"/>
        <v>October</v>
      </c>
      <c r="L51" t="str">
        <f t="shared" si="9"/>
        <v>2022</v>
      </c>
    </row>
    <row r="52" spans="1:12" x14ac:dyDescent="0.3">
      <c r="A52" t="s">
        <v>48</v>
      </c>
      <c r="B52" s="1">
        <v>45195</v>
      </c>
      <c r="C52" s="1">
        <v>45200</v>
      </c>
      <c r="D52" t="s">
        <v>10</v>
      </c>
      <c r="E52">
        <v>1204</v>
      </c>
      <c r="F52" s="8">
        <v>39.29</v>
      </c>
      <c r="G52">
        <v>0</v>
      </c>
      <c r="H52">
        <f t="shared" si="5"/>
        <v>5</v>
      </c>
      <c r="I52" s="9">
        <f t="shared" si="6"/>
        <v>47305.159999999996</v>
      </c>
      <c r="J52" s="11">
        <f t="shared" si="7"/>
        <v>0</v>
      </c>
      <c r="K52" t="str">
        <f t="shared" si="8"/>
        <v>September</v>
      </c>
      <c r="L52" t="str">
        <f t="shared" si="9"/>
        <v>2023</v>
      </c>
    </row>
    <row r="53" spans="1:12" x14ac:dyDescent="0.3">
      <c r="A53" t="s">
        <v>46</v>
      </c>
      <c r="B53" s="1">
        <v>44565</v>
      </c>
      <c r="C53" s="1">
        <v>44567</v>
      </c>
      <c r="D53" t="s">
        <v>13</v>
      </c>
      <c r="E53">
        <v>1004</v>
      </c>
      <c r="F53" s="8">
        <v>50.7</v>
      </c>
      <c r="G53">
        <v>27</v>
      </c>
      <c r="H53">
        <f t="shared" si="5"/>
        <v>2</v>
      </c>
      <c r="I53" s="9">
        <f t="shared" si="6"/>
        <v>50902.8</v>
      </c>
      <c r="J53" s="11">
        <f t="shared" si="7"/>
        <v>2.6892430278884463E-2</v>
      </c>
      <c r="K53" t="str">
        <f t="shared" si="8"/>
        <v>January</v>
      </c>
      <c r="L53" t="str">
        <f t="shared" si="9"/>
        <v>2022</v>
      </c>
    </row>
    <row r="54" spans="1:12" x14ac:dyDescent="0.3">
      <c r="A54" t="s">
        <v>46</v>
      </c>
      <c r="B54" s="1">
        <v>45153</v>
      </c>
      <c r="C54" s="1">
        <v>45154</v>
      </c>
      <c r="D54" t="s">
        <v>11</v>
      </c>
      <c r="E54">
        <v>1892</v>
      </c>
      <c r="F54" s="8">
        <v>32.99</v>
      </c>
      <c r="G54">
        <v>35</v>
      </c>
      <c r="H54">
        <f t="shared" si="5"/>
        <v>1</v>
      </c>
      <c r="I54" s="9">
        <f t="shared" si="6"/>
        <v>62417.08</v>
      </c>
      <c r="J54" s="11">
        <f t="shared" si="7"/>
        <v>1.849894291754757E-2</v>
      </c>
      <c r="K54" t="str">
        <f t="shared" si="8"/>
        <v>August</v>
      </c>
      <c r="L54" t="str">
        <f t="shared" si="9"/>
        <v>2023</v>
      </c>
    </row>
    <row r="55" spans="1:12" x14ac:dyDescent="0.3">
      <c r="A55" t="s">
        <v>49</v>
      </c>
      <c r="B55" s="1">
        <v>44758</v>
      </c>
      <c r="C55" s="1">
        <v>44774</v>
      </c>
      <c r="D55" t="s">
        <v>11</v>
      </c>
      <c r="E55">
        <v>696</v>
      </c>
      <c r="F55" s="8">
        <v>99.59</v>
      </c>
      <c r="G55">
        <v>25</v>
      </c>
      <c r="H55">
        <f t="shared" si="5"/>
        <v>16</v>
      </c>
      <c r="I55" s="9">
        <f t="shared" si="6"/>
        <v>69314.64</v>
      </c>
      <c r="J55" s="11">
        <f t="shared" si="7"/>
        <v>3.5919540229885055E-2</v>
      </c>
      <c r="K55" t="str">
        <f t="shared" si="8"/>
        <v>July</v>
      </c>
      <c r="L55" t="str">
        <f t="shared" si="9"/>
        <v>2022</v>
      </c>
    </row>
    <row r="56" spans="1:12" x14ac:dyDescent="0.3">
      <c r="A56" t="s">
        <v>48</v>
      </c>
      <c r="B56" s="1">
        <v>45283</v>
      </c>
      <c r="C56" s="1">
        <v>45294</v>
      </c>
      <c r="D56" t="s">
        <v>10</v>
      </c>
      <c r="E56">
        <v>70</v>
      </c>
      <c r="F56" s="8">
        <v>12.37</v>
      </c>
      <c r="G56">
        <v>10</v>
      </c>
      <c r="H56">
        <f t="shared" si="5"/>
        <v>11</v>
      </c>
      <c r="I56" s="9">
        <f t="shared" si="6"/>
        <v>865.9</v>
      </c>
      <c r="J56" s="11">
        <f t="shared" si="7"/>
        <v>0.14285714285714285</v>
      </c>
      <c r="K56" t="str">
        <f t="shared" si="8"/>
        <v>December</v>
      </c>
      <c r="L56" t="str">
        <f t="shared" si="9"/>
        <v>2023</v>
      </c>
    </row>
    <row r="57" spans="1:12" x14ac:dyDescent="0.3">
      <c r="A57" t="s">
        <v>50</v>
      </c>
      <c r="B57" s="1">
        <v>44633</v>
      </c>
      <c r="C57" s="1">
        <v>44635</v>
      </c>
      <c r="D57" t="s">
        <v>12</v>
      </c>
      <c r="E57">
        <v>890</v>
      </c>
      <c r="F57" s="8">
        <v>98.26</v>
      </c>
      <c r="G57">
        <v>49</v>
      </c>
      <c r="H57">
        <f t="shared" si="5"/>
        <v>2</v>
      </c>
      <c r="I57" s="9">
        <f t="shared" si="6"/>
        <v>87451.400000000009</v>
      </c>
      <c r="J57" s="11">
        <f t="shared" si="7"/>
        <v>5.5056179775280899E-2</v>
      </c>
      <c r="K57" t="str">
        <f t="shared" si="8"/>
        <v>March</v>
      </c>
      <c r="L57" t="str">
        <f t="shared" si="9"/>
        <v>2022</v>
      </c>
    </row>
    <row r="58" spans="1:12" x14ac:dyDescent="0.3">
      <c r="A58" t="s">
        <v>46</v>
      </c>
      <c r="B58" s="1">
        <v>44608</v>
      </c>
      <c r="C58" s="1">
        <v>44624</v>
      </c>
      <c r="D58" t="s">
        <v>10</v>
      </c>
      <c r="E58">
        <v>216</v>
      </c>
      <c r="F58" s="8">
        <v>13.95</v>
      </c>
      <c r="G58">
        <v>5</v>
      </c>
      <c r="H58">
        <f t="shared" si="5"/>
        <v>16</v>
      </c>
      <c r="I58" s="9">
        <f t="shared" si="6"/>
        <v>3013.2</v>
      </c>
      <c r="J58" s="11">
        <f t="shared" si="7"/>
        <v>2.3148148148148147E-2</v>
      </c>
      <c r="K58" t="str">
        <f t="shared" si="8"/>
        <v>February</v>
      </c>
      <c r="L58" t="str">
        <f t="shared" si="9"/>
        <v>2022</v>
      </c>
    </row>
    <row r="59" spans="1:12" x14ac:dyDescent="0.3">
      <c r="A59" t="s">
        <v>48</v>
      </c>
      <c r="B59" s="1">
        <v>45239</v>
      </c>
      <c r="C59" s="1">
        <v>45242</v>
      </c>
      <c r="D59" t="s">
        <v>11</v>
      </c>
      <c r="E59">
        <v>1347</v>
      </c>
      <c r="F59" s="8">
        <v>100.13</v>
      </c>
      <c r="G59">
        <v>200</v>
      </c>
      <c r="H59">
        <f t="shared" si="5"/>
        <v>3</v>
      </c>
      <c r="I59" s="9">
        <f t="shared" si="6"/>
        <v>134875.10999999999</v>
      </c>
      <c r="J59" s="11">
        <f t="shared" si="7"/>
        <v>0.14847809948032664</v>
      </c>
      <c r="K59" t="str">
        <f t="shared" si="8"/>
        <v>November</v>
      </c>
      <c r="L59" t="str">
        <f t="shared" si="9"/>
        <v>2023</v>
      </c>
    </row>
    <row r="60" spans="1:12" x14ac:dyDescent="0.3">
      <c r="A60" t="s">
        <v>50</v>
      </c>
      <c r="B60" s="1">
        <v>44795</v>
      </c>
      <c r="C60" s="1">
        <v>44798</v>
      </c>
      <c r="D60" t="s">
        <v>9</v>
      </c>
      <c r="E60">
        <v>437</v>
      </c>
      <c r="F60" s="8">
        <v>59.51</v>
      </c>
      <c r="G60">
        <v>25</v>
      </c>
      <c r="H60">
        <f t="shared" si="5"/>
        <v>3</v>
      </c>
      <c r="I60" s="9">
        <f t="shared" si="6"/>
        <v>26005.87</v>
      </c>
      <c r="J60" s="11">
        <f t="shared" si="7"/>
        <v>5.7208237986270026E-2</v>
      </c>
      <c r="K60" t="str">
        <f t="shared" si="8"/>
        <v>August</v>
      </c>
      <c r="L60" t="str">
        <f t="shared" si="9"/>
        <v>2022</v>
      </c>
    </row>
    <row r="61" spans="1:12" x14ac:dyDescent="0.3">
      <c r="A61" t="s">
        <v>46</v>
      </c>
      <c r="B61" s="1">
        <v>44858</v>
      </c>
      <c r="C61" s="1">
        <v>44860</v>
      </c>
      <c r="D61" t="s">
        <v>13</v>
      </c>
      <c r="E61">
        <v>650</v>
      </c>
      <c r="F61" s="8">
        <v>103.84</v>
      </c>
      <c r="G61">
        <v>12</v>
      </c>
      <c r="H61">
        <f t="shared" si="5"/>
        <v>2</v>
      </c>
      <c r="I61" s="9">
        <f t="shared" si="6"/>
        <v>67496</v>
      </c>
      <c r="J61" s="11">
        <f t="shared" si="7"/>
        <v>1.8461538461538463E-2</v>
      </c>
      <c r="K61" t="str">
        <f t="shared" si="8"/>
        <v>October</v>
      </c>
      <c r="L61" t="str">
        <f t="shared" si="9"/>
        <v>2022</v>
      </c>
    </row>
    <row r="62" spans="1:12" x14ac:dyDescent="0.3">
      <c r="A62" t="s">
        <v>47</v>
      </c>
      <c r="B62" s="1">
        <v>44643</v>
      </c>
      <c r="C62" s="1">
        <v>44662</v>
      </c>
      <c r="D62" t="s">
        <v>9</v>
      </c>
      <c r="E62">
        <v>365</v>
      </c>
      <c r="F62" s="8">
        <v>16.809999999999999</v>
      </c>
      <c r="G62">
        <v>38</v>
      </c>
      <c r="H62">
        <f t="shared" si="5"/>
        <v>19</v>
      </c>
      <c r="I62" s="9">
        <f t="shared" si="6"/>
        <v>6135.65</v>
      </c>
      <c r="J62" s="11">
        <f t="shared" si="7"/>
        <v>0.10410958904109589</v>
      </c>
      <c r="K62" t="str">
        <f t="shared" si="8"/>
        <v>March</v>
      </c>
      <c r="L62" t="str">
        <f t="shared" si="9"/>
        <v>2022</v>
      </c>
    </row>
    <row r="63" spans="1:12" x14ac:dyDescent="0.3">
      <c r="A63" t="s">
        <v>46</v>
      </c>
      <c r="B63" s="1">
        <v>44665</v>
      </c>
      <c r="C63" s="1">
        <v>44673</v>
      </c>
      <c r="D63" t="s">
        <v>10</v>
      </c>
      <c r="E63">
        <v>291</v>
      </c>
      <c r="F63" s="8">
        <v>98.7</v>
      </c>
      <c r="G63">
        <v>9</v>
      </c>
      <c r="H63">
        <f t="shared" si="5"/>
        <v>8</v>
      </c>
      <c r="I63" s="9">
        <f t="shared" si="6"/>
        <v>28721.7</v>
      </c>
      <c r="J63" s="11">
        <f t="shared" si="7"/>
        <v>3.0927835051546393E-2</v>
      </c>
      <c r="K63" t="str">
        <f t="shared" si="8"/>
        <v>April</v>
      </c>
      <c r="L63" t="str">
        <f t="shared" si="9"/>
        <v>2022</v>
      </c>
    </row>
    <row r="64" spans="1:12" x14ac:dyDescent="0.3">
      <c r="A64" t="s">
        <v>46</v>
      </c>
      <c r="B64" s="1">
        <v>44587</v>
      </c>
      <c r="C64" s="1">
        <v>44595</v>
      </c>
      <c r="D64" t="s">
        <v>9</v>
      </c>
      <c r="E64">
        <v>1818</v>
      </c>
      <c r="F64" s="8">
        <v>67.959999999999994</v>
      </c>
      <c r="G64">
        <v>0</v>
      </c>
      <c r="H64">
        <f t="shared" si="5"/>
        <v>8</v>
      </c>
      <c r="I64" s="9">
        <f t="shared" si="6"/>
        <v>123551.27999999998</v>
      </c>
      <c r="J64" s="11">
        <f t="shared" si="7"/>
        <v>0</v>
      </c>
      <c r="K64" t="str">
        <f t="shared" si="8"/>
        <v>January</v>
      </c>
      <c r="L64" t="str">
        <f t="shared" si="9"/>
        <v>2022</v>
      </c>
    </row>
    <row r="65" spans="1:12" x14ac:dyDescent="0.3">
      <c r="A65" t="s">
        <v>48</v>
      </c>
      <c r="B65" s="1">
        <v>44846</v>
      </c>
      <c r="C65" s="1">
        <v>44866</v>
      </c>
      <c r="D65" t="s">
        <v>13</v>
      </c>
      <c r="E65">
        <v>1419</v>
      </c>
      <c r="F65" s="8">
        <v>69.64</v>
      </c>
      <c r="G65">
        <v>194</v>
      </c>
      <c r="H65">
        <f t="shared" si="5"/>
        <v>20</v>
      </c>
      <c r="I65" s="9">
        <f t="shared" si="6"/>
        <v>98819.16</v>
      </c>
      <c r="J65" s="11">
        <f t="shared" si="7"/>
        <v>0.13671599718111346</v>
      </c>
      <c r="K65" t="str">
        <f t="shared" si="8"/>
        <v>October</v>
      </c>
      <c r="L65" t="str">
        <f t="shared" si="9"/>
        <v>2022</v>
      </c>
    </row>
    <row r="66" spans="1:12" x14ac:dyDescent="0.3">
      <c r="A66" t="s">
        <v>50</v>
      </c>
      <c r="B66" s="1">
        <v>45026</v>
      </c>
      <c r="C66" s="1">
        <v>45043</v>
      </c>
      <c r="D66" t="s">
        <v>9</v>
      </c>
      <c r="E66">
        <v>614</v>
      </c>
      <c r="F66" s="8">
        <v>78.06</v>
      </c>
      <c r="G66">
        <v>40</v>
      </c>
      <c r="H66">
        <f t="shared" si="5"/>
        <v>17</v>
      </c>
      <c r="I66" s="9">
        <f t="shared" si="6"/>
        <v>47928.840000000004</v>
      </c>
      <c r="J66" s="11">
        <f t="shared" si="7"/>
        <v>6.5146579804560262E-2</v>
      </c>
      <c r="K66" t="str">
        <f t="shared" si="8"/>
        <v>April</v>
      </c>
      <c r="L66" t="str">
        <f t="shared" si="9"/>
        <v>2023</v>
      </c>
    </row>
    <row r="67" spans="1:12" x14ac:dyDescent="0.3">
      <c r="A67" t="s">
        <v>46</v>
      </c>
      <c r="B67" s="1">
        <v>45212</v>
      </c>
      <c r="C67" s="1">
        <v>45227</v>
      </c>
      <c r="D67" t="s">
        <v>13</v>
      </c>
      <c r="E67">
        <v>947</v>
      </c>
      <c r="F67" s="8">
        <v>56.25</v>
      </c>
      <c r="G67">
        <v>19</v>
      </c>
      <c r="H67">
        <f t="shared" si="5"/>
        <v>15</v>
      </c>
      <c r="I67" s="9">
        <f t="shared" si="6"/>
        <v>53268.75</v>
      </c>
      <c r="J67" s="11">
        <f t="shared" si="7"/>
        <v>2.0063357972544878E-2</v>
      </c>
      <c r="K67" t="str">
        <f t="shared" si="8"/>
        <v>October</v>
      </c>
      <c r="L67" t="str">
        <f t="shared" si="9"/>
        <v>2023</v>
      </c>
    </row>
    <row r="68" spans="1:12" x14ac:dyDescent="0.3">
      <c r="A68" t="s">
        <v>46</v>
      </c>
      <c r="B68" s="1">
        <v>44562</v>
      </c>
      <c r="C68" s="1">
        <v>44568</v>
      </c>
      <c r="D68" t="s">
        <v>12</v>
      </c>
      <c r="E68">
        <v>1042</v>
      </c>
      <c r="F68" s="8">
        <v>36.74</v>
      </c>
      <c r="G68">
        <v>33</v>
      </c>
      <c r="H68">
        <f t="shared" ref="H68:H131" si="10" xml:space="preserve"> C68-B68</f>
        <v>6</v>
      </c>
      <c r="I68" s="9">
        <f t="shared" ref="I68:I131" si="11">F68*E68</f>
        <v>38283.08</v>
      </c>
      <c r="J68" s="11">
        <f t="shared" ref="J68:J131" si="12">(G68/E68)</f>
        <v>3.166986564299424E-2</v>
      </c>
      <c r="K68" t="str">
        <f t="shared" ref="K68:K131" si="13">TEXT(B68,"mmmm")</f>
        <v>January</v>
      </c>
      <c r="L68" t="str">
        <f t="shared" ref="L68:L131" si="14">TEXT(B68,"yyyy")</f>
        <v>2022</v>
      </c>
    </row>
    <row r="69" spans="1:12" x14ac:dyDescent="0.3">
      <c r="A69" t="s">
        <v>46</v>
      </c>
      <c r="B69" s="1">
        <v>44955</v>
      </c>
      <c r="C69" s="1">
        <v>44972</v>
      </c>
      <c r="D69" t="s">
        <v>9</v>
      </c>
      <c r="E69">
        <v>683</v>
      </c>
      <c r="F69" s="8">
        <v>104.82</v>
      </c>
      <c r="G69">
        <v>0</v>
      </c>
      <c r="H69">
        <f t="shared" si="10"/>
        <v>17</v>
      </c>
      <c r="I69" s="9">
        <f t="shared" si="11"/>
        <v>71592.06</v>
      </c>
      <c r="J69" s="11">
        <f t="shared" si="12"/>
        <v>0</v>
      </c>
      <c r="K69" t="str">
        <f t="shared" si="13"/>
        <v>January</v>
      </c>
      <c r="L69" t="str">
        <f t="shared" si="14"/>
        <v>2023</v>
      </c>
    </row>
    <row r="70" spans="1:12" x14ac:dyDescent="0.3">
      <c r="A70" t="s">
        <v>48</v>
      </c>
      <c r="B70" s="1">
        <v>44925</v>
      </c>
      <c r="C70" s="1">
        <v>44929</v>
      </c>
      <c r="D70" t="s">
        <v>12</v>
      </c>
      <c r="E70">
        <v>1005</v>
      </c>
      <c r="F70" s="8">
        <v>14.87</v>
      </c>
      <c r="G70">
        <v>0</v>
      </c>
      <c r="H70">
        <f t="shared" si="10"/>
        <v>4</v>
      </c>
      <c r="I70" s="9">
        <f t="shared" si="11"/>
        <v>14944.349999999999</v>
      </c>
      <c r="J70" s="11">
        <f t="shared" si="12"/>
        <v>0</v>
      </c>
      <c r="K70" t="str">
        <f t="shared" si="13"/>
        <v>December</v>
      </c>
      <c r="L70" t="str">
        <f t="shared" si="14"/>
        <v>2022</v>
      </c>
    </row>
    <row r="71" spans="1:12" x14ac:dyDescent="0.3">
      <c r="A71" t="s">
        <v>50</v>
      </c>
      <c r="B71" s="1">
        <v>45248</v>
      </c>
      <c r="C71" s="1">
        <v>45255</v>
      </c>
      <c r="D71" t="s">
        <v>10</v>
      </c>
      <c r="E71">
        <v>1501</v>
      </c>
      <c r="F71" s="8">
        <v>106.05</v>
      </c>
      <c r="G71">
        <v>77</v>
      </c>
      <c r="H71">
        <f t="shared" si="10"/>
        <v>7</v>
      </c>
      <c r="I71" s="9">
        <f t="shared" si="11"/>
        <v>159181.04999999999</v>
      </c>
      <c r="J71" s="11">
        <f t="shared" si="12"/>
        <v>5.1299133910726186E-2</v>
      </c>
      <c r="K71" t="str">
        <f t="shared" si="13"/>
        <v>November</v>
      </c>
      <c r="L71" t="str">
        <f t="shared" si="14"/>
        <v>2023</v>
      </c>
    </row>
    <row r="72" spans="1:12" x14ac:dyDescent="0.3">
      <c r="A72" t="s">
        <v>48</v>
      </c>
      <c r="B72" s="1">
        <v>44835</v>
      </c>
      <c r="C72" s="1">
        <v>44838</v>
      </c>
      <c r="D72" t="s">
        <v>11</v>
      </c>
      <c r="E72">
        <v>558</v>
      </c>
      <c r="F72" s="8">
        <v>94.18</v>
      </c>
      <c r="G72">
        <v>0</v>
      </c>
      <c r="H72">
        <f t="shared" si="10"/>
        <v>3</v>
      </c>
      <c r="I72" s="9">
        <f t="shared" si="11"/>
        <v>52552.44</v>
      </c>
      <c r="J72" s="11">
        <f t="shared" si="12"/>
        <v>0</v>
      </c>
      <c r="K72" t="str">
        <f t="shared" si="13"/>
        <v>October</v>
      </c>
      <c r="L72" t="str">
        <f t="shared" si="14"/>
        <v>2022</v>
      </c>
    </row>
    <row r="73" spans="1:12" x14ac:dyDescent="0.3">
      <c r="A73" t="s">
        <v>47</v>
      </c>
      <c r="B73" s="1">
        <v>45280</v>
      </c>
      <c r="C73" s="1">
        <v>45286</v>
      </c>
      <c r="D73" t="s">
        <v>10</v>
      </c>
      <c r="E73">
        <v>825</v>
      </c>
      <c r="F73" s="8">
        <v>56.88</v>
      </c>
      <c r="G73">
        <v>0</v>
      </c>
      <c r="H73">
        <f t="shared" si="10"/>
        <v>6</v>
      </c>
      <c r="I73" s="9">
        <f t="shared" si="11"/>
        <v>46926</v>
      </c>
      <c r="J73" s="11">
        <f t="shared" si="12"/>
        <v>0</v>
      </c>
      <c r="K73" t="str">
        <f t="shared" si="13"/>
        <v>December</v>
      </c>
      <c r="L73" t="str">
        <f t="shared" si="14"/>
        <v>2023</v>
      </c>
    </row>
    <row r="74" spans="1:12" x14ac:dyDescent="0.3">
      <c r="A74" t="s">
        <v>47</v>
      </c>
      <c r="B74" s="1">
        <v>45261</v>
      </c>
      <c r="C74" s="1">
        <v>45267</v>
      </c>
      <c r="D74" t="s">
        <v>13</v>
      </c>
      <c r="E74">
        <v>84</v>
      </c>
      <c r="F74" s="8">
        <v>73.38</v>
      </c>
      <c r="G74">
        <v>9</v>
      </c>
      <c r="H74">
        <f t="shared" si="10"/>
        <v>6</v>
      </c>
      <c r="I74" s="9">
        <f t="shared" si="11"/>
        <v>6163.92</v>
      </c>
      <c r="J74" s="11">
        <f t="shared" si="12"/>
        <v>0.10714285714285714</v>
      </c>
      <c r="K74" t="str">
        <f t="shared" si="13"/>
        <v>December</v>
      </c>
      <c r="L74" t="str">
        <f t="shared" si="14"/>
        <v>2023</v>
      </c>
    </row>
    <row r="75" spans="1:12" x14ac:dyDescent="0.3">
      <c r="A75" t="s">
        <v>48</v>
      </c>
      <c r="B75" s="1">
        <v>45225</v>
      </c>
      <c r="C75" s="1">
        <v>45240</v>
      </c>
      <c r="D75" t="s">
        <v>12</v>
      </c>
      <c r="E75">
        <v>255</v>
      </c>
      <c r="F75" s="8">
        <v>38.64</v>
      </c>
      <c r="G75">
        <v>27</v>
      </c>
      <c r="H75">
        <f t="shared" si="10"/>
        <v>15</v>
      </c>
      <c r="I75" s="9">
        <f t="shared" si="11"/>
        <v>9853.2000000000007</v>
      </c>
      <c r="J75" s="11">
        <f t="shared" si="12"/>
        <v>0.10588235294117647</v>
      </c>
      <c r="K75" t="str">
        <f t="shared" si="13"/>
        <v>October</v>
      </c>
      <c r="L75" t="str">
        <f t="shared" si="14"/>
        <v>2023</v>
      </c>
    </row>
    <row r="76" spans="1:12" x14ac:dyDescent="0.3">
      <c r="A76" t="s">
        <v>50</v>
      </c>
      <c r="B76" s="1">
        <v>44635</v>
      </c>
      <c r="C76" s="1">
        <v>44651</v>
      </c>
      <c r="D76" t="s">
        <v>10</v>
      </c>
      <c r="E76">
        <v>1154</v>
      </c>
      <c r="F76" s="8">
        <v>27.2</v>
      </c>
      <c r="G76">
        <v>58</v>
      </c>
      <c r="H76">
        <f t="shared" si="10"/>
        <v>16</v>
      </c>
      <c r="I76" s="9">
        <f t="shared" si="11"/>
        <v>31388.799999999999</v>
      </c>
      <c r="J76" s="11">
        <f t="shared" si="12"/>
        <v>5.0259965337954939E-2</v>
      </c>
      <c r="K76" t="str">
        <f t="shared" si="13"/>
        <v>March</v>
      </c>
      <c r="L76" t="str">
        <f t="shared" si="14"/>
        <v>2022</v>
      </c>
    </row>
    <row r="77" spans="1:12" x14ac:dyDescent="0.3">
      <c r="A77" t="s">
        <v>48</v>
      </c>
      <c r="B77" s="1">
        <v>45185</v>
      </c>
      <c r="C77" s="1">
        <v>45193</v>
      </c>
      <c r="D77" t="s">
        <v>9</v>
      </c>
      <c r="E77">
        <v>1635</v>
      </c>
      <c r="F77" s="8">
        <v>56.91</v>
      </c>
      <c r="G77">
        <v>262</v>
      </c>
      <c r="H77">
        <f t="shared" si="10"/>
        <v>8</v>
      </c>
      <c r="I77" s="9">
        <f t="shared" si="11"/>
        <v>93047.849999999991</v>
      </c>
      <c r="J77" s="11">
        <f t="shared" si="12"/>
        <v>0.1602446483180428</v>
      </c>
      <c r="K77" t="str">
        <f t="shared" si="13"/>
        <v>September</v>
      </c>
      <c r="L77" t="str">
        <f t="shared" si="14"/>
        <v>2023</v>
      </c>
    </row>
    <row r="78" spans="1:12" x14ac:dyDescent="0.3">
      <c r="A78" t="s">
        <v>48</v>
      </c>
      <c r="B78" s="1">
        <v>45212</v>
      </c>
      <c r="C78" s="1">
        <v>45222</v>
      </c>
      <c r="D78" t="s">
        <v>12</v>
      </c>
      <c r="E78">
        <v>1945</v>
      </c>
      <c r="F78" s="8">
        <v>46.19</v>
      </c>
      <c r="G78">
        <v>278</v>
      </c>
      <c r="H78">
        <f t="shared" si="10"/>
        <v>10</v>
      </c>
      <c r="I78" s="9">
        <f t="shared" si="11"/>
        <v>89839.549999999988</v>
      </c>
      <c r="J78" s="11">
        <f t="shared" si="12"/>
        <v>0.14293059125964011</v>
      </c>
      <c r="K78" t="str">
        <f t="shared" si="13"/>
        <v>October</v>
      </c>
      <c r="L78" t="str">
        <f t="shared" si="14"/>
        <v>2023</v>
      </c>
    </row>
    <row r="79" spans="1:12" x14ac:dyDescent="0.3">
      <c r="A79" t="s">
        <v>48</v>
      </c>
      <c r="B79" s="1">
        <v>44737</v>
      </c>
      <c r="C79" s="1">
        <v>44752</v>
      </c>
      <c r="D79" t="s">
        <v>10</v>
      </c>
      <c r="E79">
        <v>1461</v>
      </c>
      <c r="F79" s="8">
        <v>64.09</v>
      </c>
      <c r="G79">
        <v>228</v>
      </c>
      <c r="H79">
        <f t="shared" si="10"/>
        <v>15</v>
      </c>
      <c r="I79" s="9">
        <f t="shared" si="11"/>
        <v>93635.49</v>
      </c>
      <c r="J79" s="11">
        <f t="shared" si="12"/>
        <v>0.15605749486652978</v>
      </c>
      <c r="K79" t="str">
        <f t="shared" si="13"/>
        <v>June</v>
      </c>
      <c r="L79" t="str">
        <f t="shared" si="14"/>
        <v>2022</v>
      </c>
    </row>
    <row r="80" spans="1:12" x14ac:dyDescent="0.3">
      <c r="A80" t="s">
        <v>48</v>
      </c>
      <c r="B80" s="1">
        <v>45108</v>
      </c>
      <c r="C80" s="1">
        <v>45116</v>
      </c>
      <c r="D80" t="s">
        <v>13</v>
      </c>
      <c r="E80">
        <v>1075</v>
      </c>
      <c r="F80" s="8">
        <v>18.53</v>
      </c>
      <c r="G80">
        <v>147</v>
      </c>
      <c r="H80">
        <f t="shared" si="10"/>
        <v>8</v>
      </c>
      <c r="I80" s="9">
        <f t="shared" si="11"/>
        <v>19919.75</v>
      </c>
      <c r="J80" s="11">
        <f t="shared" si="12"/>
        <v>0.13674418604651162</v>
      </c>
      <c r="K80" t="str">
        <f t="shared" si="13"/>
        <v>July</v>
      </c>
      <c r="L80" t="str">
        <f t="shared" si="14"/>
        <v>2023</v>
      </c>
    </row>
    <row r="81" spans="1:12" x14ac:dyDescent="0.3">
      <c r="A81" t="s">
        <v>49</v>
      </c>
      <c r="B81" s="1">
        <v>44729</v>
      </c>
      <c r="C81" s="1">
        <v>44748</v>
      </c>
      <c r="D81" t="s">
        <v>11</v>
      </c>
      <c r="E81">
        <v>1463</v>
      </c>
      <c r="F81" s="8">
        <v>101.23</v>
      </c>
      <c r="G81">
        <v>43</v>
      </c>
      <c r="H81">
        <f t="shared" si="10"/>
        <v>19</v>
      </c>
      <c r="I81" s="9">
        <f t="shared" si="11"/>
        <v>148099.49000000002</v>
      </c>
      <c r="J81" s="11">
        <f t="shared" si="12"/>
        <v>2.939166097060834E-2</v>
      </c>
      <c r="K81" t="str">
        <f t="shared" si="13"/>
        <v>June</v>
      </c>
      <c r="L81" t="str">
        <f t="shared" si="14"/>
        <v>2022</v>
      </c>
    </row>
    <row r="82" spans="1:12" x14ac:dyDescent="0.3">
      <c r="A82" t="s">
        <v>47</v>
      </c>
      <c r="B82" s="1">
        <v>45035</v>
      </c>
      <c r="C82" s="1">
        <v>45042</v>
      </c>
      <c r="D82" t="s">
        <v>12</v>
      </c>
      <c r="E82">
        <v>615</v>
      </c>
      <c r="F82" s="8">
        <v>78.3</v>
      </c>
      <c r="G82">
        <v>69</v>
      </c>
      <c r="H82">
        <f t="shared" si="10"/>
        <v>7</v>
      </c>
      <c r="I82" s="9">
        <f t="shared" si="11"/>
        <v>48154.5</v>
      </c>
      <c r="J82" s="11">
        <f t="shared" si="12"/>
        <v>0.11219512195121951</v>
      </c>
      <c r="K82" t="str">
        <f t="shared" si="13"/>
        <v>April</v>
      </c>
      <c r="L82" t="str">
        <f t="shared" si="14"/>
        <v>2023</v>
      </c>
    </row>
    <row r="83" spans="1:12" x14ac:dyDescent="0.3">
      <c r="A83" t="s">
        <v>46</v>
      </c>
      <c r="B83" s="1">
        <v>44954</v>
      </c>
      <c r="C83" s="1">
        <v>44972</v>
      </c>
      <c r="D83" t="s">
        <v>13</v>
      </c>
      <c r="E83">
        <v>1296</v>
      </c>
      <c r="F83" s="8">
        <v>38</v>
      </c>
      <c r="G83">
        <v>33</v>
      </c>
      <c r="H83">
        <f t="shared" si="10"/>
        <v>18</v>
      </c>
      <c r="I83" s="9">
        <f t="shared" si="11"/>
        <v>49248</v>
      </c>
      <c r="J83" s="11">
        <f t="shared" si="12"/>
        <v>2.5462962962962962E-2</v>
      </c>
      <c r="K83" t="str">
        <f t="shared" si="13"/>
        <v>January</v>
      </c>
      <c r="L83" t="str">
        <f t="shared" si="14"/>
        <v>2023</v>
      </c>
    </row>
    <row r="84" spans="1:12" x14ac:dyDescent="0.3">
      <c r="A84" t="s">
        <v>46</v>
      </c>
      <c r="B84" s="1">
        <v>44838</v>
      </c>
      <c r="C84" s="1">
        <v>44843</v>
      </c>
      <c r="D84" t="s">
        <v>13</v>
      </c>
      <c r="E84">
        <v>1845</v>
      </c>
      <c r="F84" s="8">
        <v>39.56</v>
      </c>
      <c r="G84">
        <v>45</v>
      </c>
      <c r="H84">
        <f t="shared" si="10"/>
        <v>5</v>
      </c>
      <c r="I84" s="9">
        <f t="shared" si="11"/>
        <v>72988.2</v>
      </c>
      <c r="J84" s="11">
        <f t="shared" si="12"/>
        <v>2.4390243902439025E-2</v>
      </c>
      <c r="K84" t="str">
        <f t="shared" si="13"/>
        <v>October</v>
      </c>
      <c r="L84" t="str">
        <f t="shared" si="14"/>
        <v>2022</v>
      </c>
    </row>
    <row r="85" spans="1:12" x14ac:dyDescent="0.3">
      <c r="A85" t="s">
        <v>49</v>
      </c>
      <c r="B85" s="1">
        <v>45266</v>
      </c>
      <c r="C85" s="1">
        <v>45269</v>
      </c>
      <c r="D85" t="s">
        <v>10</v>
      </c>
      <c r="E85">
        <v>1550</v>
      </c>
      <c r="F85" s="8">
        <v>79.86</v>
      </c>
      <c r="G85">
        <v>32</v>
      </c>
      <c r="H85">
        <f t="shared" si="10"/>
        <v>3</v>
      </c>
      <c r="I85" s="9">
        <f t="shared" si="11"/>
        <v>123783</v>
      </c>
      <c r="J85" s="11">
        <f t="shared" si="12"/>
        <v>2.0645161290322581E-2</v>
      </c>
      <c r="K85" t="str">
        <f t="shared" si="13"/>
        <v>December</v>
      </c>
      <c r="L85" t="str">
        <f t="shared" si="14"/>
        <v>2023</v>
      </c>
    </row>
    <row r="86" spans="1:12" x14ac:dyDescent="0.3">
      <c r="A86" t="s">
        <v>48</v>
      </c>
      <c r="B86" s="1">
        <v>45132</v>
      </c>
      <c r="C86" s="1">
        <v>45142</v>
      </c>
      <c r="D86" t="s">
        <v>11</v>
      </c>
      <c r="E86">
        <v>752</v>
      </c>
      <c r="F86" s="8">
        <v>26.85</v>
      </c>
      <c r="G86">
        <v>0</v>
      </c>
      <c r="H86">
        <f t="shared" si="10"/>
        <v>10</v>
      </c>
      <c r="I86" s="9">
        <f t="shared" si="11"/>
        <v>20191.2</v>
      </c>
      <c r="J86" s="11">
        <f t="shared" si="12"/>
        <v>0</v>
      </c>
      <c r="K86" t="str">
        <f t="shared" si="13"/>
        <v>July</v>
      </c>
      <c r="L86" t="str">
        <f t="shared" si="14"/>
        <v>2023</v>
      </c>
    </row>
    <row r="87" spans="1:12" x14ac:dyDescent="0.3">
      <c r="A87" t="s">
        <v>49</v>
      </c>
      <c r="B87" s="1">
        <v>44786</v>
      </c>
      <c r="C87" s="1">
        <v>44805</v>
      </c>
      <c r="D87" t="s">
        <v>13</v>
      </c>
      <c r="E87">
        <v>451</v>
      </c>
      <c r="F87" s="8">
        <v>95.2</v>
      </c>
      <c r="G87">
        <v>21</v>
      </c>
      <c r="H87">
        <f t="shared" si="10"/>
        <v>19</v>
      </c>
      <c r="I87" s="9">
        <f t="shared" si="11"/>
        <v>42935.200000000004</v>
      </c>
      <c r="J87" s="11">
        <f t="shared" si="12"/>
        <v>4.6563192904656318E-2</v>
      </c>
      <c r="K87" t="str">
        <f t="shared" si="13"/>
        <v>August</v>
      </c>
      <c r="L87" t="str">
        <f t="shared" si="14"/>
        <v>2022</v>
      </c>
    </row>
    <row r="88" spans="1:12" x14ac:dyDescent="0.3">
      <c r="A88" t="s">
        <v>47</v>
      </c>
      <c r="B88" s="1">
        <v>44894</v>
      </c>
      <c r="C88" s="1">
        <v>44909</v>
      </c>
      <c r="D88" t="s">
        <v>10</v>
      </c>
      <c r="E88">
        <v>1629</v>
      </c>
      <c r="F88" s="8">
        <v>100.26</v>
      </c>
      <c r="G88">
        <v>187</v>
      </c>
      <c r="H88">
        <f t="shared" si="10"/>
        <v>15</v>
      </c>
      <c r="I88" s="9">
        <f t="shared" si="11"/>
        <v>163323.54</v>
      </c>
      <c r="J88" s="11">
        <f t="shared" si="12"/>
        <v>0.11479435236341314</v>
      </c>
      <c r="K88" t="str">
        <f t="shared" si="13"/>
        <v>November</v>
      </c>
      <c r="L88" t="str">
        <f t="shared" si="14"/>
        <v>2022</v>
      </c>
    </row>
    <row r="89" spans="1:12" x14ac:dyDescent="0.3">
      <c r="A89" t="s">
        <v>46</v>
      </c>
      <c r="B89" s="1">
        <v>44619</v>
      </c>
      <c r="C89" s="1">
        <v>44614</v>
      </c>
      <c r="D89" t="s">
        <v>9</v>
      </c>
      <c r="E89">
        <v>211</v>
      </c>
      <c r="F89" s="8">
        <v>75.69</v>
      </c>
      <c r="G89">
        <v>2</v>
      </c>
      <c r="H89">
        <f t="shared" si="10"/>
        <v>-5</v>
      </c>
      <c r="I89" s="9">
        <f t="shared" si="11"/>
        <v>15970.59</v>
      </c>
      <c r="J89" s="11">
        <f t="shared" si="12"/>
        <v>9.4786729857819912E-3</v>
      </c>
      <c r="K89" t="str">
        <f t="shared" si="13"/>
        <v>February</v>
      </c>
      <c r="L89" t="str">
        <f t="shared" si="14"/>
        <v>2022</v>
      </c>
    </row>
    <row r="90" spans="1:12" x14ac:dyDescent="0.3">
      <c r="A90" t="s">
        <v>50</v>
      </c>
      <c r="B90" s="1">
        <v>44594</v>
      </c>
      <c r="C90" s="1">
        <v>44610</v>
      </c>
      <c r="D90" t="s">
        <v>12</v>
      </c>
      <c r="E90">
        <v>1045</v>
      </c>
      <c r="F90" s="8">
        <v>47.88</v>
      </c>
      <c r="G90">
        <v>69</v>
      </c>
      <c r="H90">
        <f t="shared" si="10"/>
        <v>16</v>
      </c>
      <c r="I90" s="9">
        <f t="shared" si="11"/>
        <v>50034.600000000006</v>
      </c>
      <c r="J90" s="11">
        <f t="shared" si="12"/>
        <v>6.6028708133971298E-2</v>
      </c>
      <c r="K90" t="str">
        <f t="shared" si="13"/>
        <v>February</v>
      </c>
      <c r="L90" t="str">
        <f t="shared" si="14"/>
        <v>2022</v>
      </c>
    </row>
    <row r="91" spans="1:12" x14ac:dyDescent="0.3">
      <c r="A91" t="s">
        <v>48</v>
      </c>
      <c r="B91" s="1">
        <v>44885</v>
      </c>
      <c r="C91" s="1">
        <v>44905</v>
      </c>
      <c r="D91" t="s">
        <v>10</v>
      </c>
      <c r="E91">
        <v>319</v>
      </c>
      <c r="F91" s="8">
        <v>98.64</v>
      </c>
      <c r="G91">
        <v>57</v>
      </c>
      <c r="H91">
        <f t="shared" si="10"/>
        <v>20</v>
      </c>
      <c r="I91" s="9">
        <f t="shared" si="11"/>
        <v>31466.16</v>
      </c>
      <c r="J91" s="11">
        <f t="shared" si="12"/>
        <v>0.17868338557993729</v>
      </c>
      <c r="K91" t="str">
        <f t="shared" si="13"/>
        <v>November</v>
      </c>
      <c r="L91" t="str">
        <f t="shared" si="14"/>
        <v>2022</v>
      </c>
    </row>
    <row r="92" spans="1:12" x14ac:dyDescent="0.3">
      <c r="A92" t="s">
        <v>49</v>
      </c>
      <c r="B92" s="1">
        <v>44972</v>
      </c>
      <c r="C92" s="1">
        <v>44986</v>
      </c>
      <c r="D92" t="s">
        <v>9</v>
      </c>
      <c r="E92">
        <v>1936</v>
      </c>
      <c r="F92" s="8">
        <v>93.66</v>
      </c>
      <c r="G92">
        <v>58</v>
      </c>
      <c r="H92">
        <f t="shared" si="10"/>
        <v>14</v>
      </c>
      <c r="I92" s="9">
        <f t="shared" si="11"/>
        <v>181325.75999999998</v>
      </c>
      <c r="J92" s="11">
        <f t="shared" si="12"/>
        <v>2.9958677685950414E-2</v>
      </c>
      <c r="K92" t="str">
        <f t="shared" si="13"/>
        <v>February</v>
      </c>
      <c r="L92" t="str">
        <f t="shared" si="14"/>
        <v>2023</v>
      </c>
    </row>
    <row r="93" spans="1:12" x14ac:dyDescent="0.3">
      <c r="A93" t="s">
        <v>48</v>
      </c>
      <c r="B93" s="1">
        <v>44836</v>
      </c>
      <c r="C93" s="1">
        <v>44856</v>
      </c>
      <c r="D93" t="s">
        <v>10</v>
      </c>
      <c r="E93">
        <v>865</v>
      </c>
      <c r="F93" s="8">
        <v>14.7</v>
      </c>
      <c r="G93">
        <v>135</v>
      </c>
      <c r="H93">
        <f t="shared" si="10"/>
        <v>20</v>
      </c>
      <c r="I93" s="9">
        <f t="shared" si="11"/>
        <v>12715.5</v>
      </c>
      <c r="J93" s="11">
        <f t="shared" si="12"/>
        <v>0.15606936416184972</v>
      </c>
      <c r="K93" t="str">
        <f t="shared" si="13"/>
        <v>October</v>
      </c>
      <c r="L93" t="str">
        <f t="shared" si="14"/>
        <v>2022</v>
      </c>
    </row>
    <row r="94" spans="1:12" x14ac:dyDescent="0.3">
      <c r="A94" t="s">
        <v>49</v>
      </c>
      <c r="B94" s="1">
        <v>44629</v>
      </c>
      <c r="C94" s="1">
        <v>44632</v>
      </c>
      <c r="D94" t="s">
        <v>13</v>
      </c>
      <c r="E94">
        <v>1344</v>
      </c>
      <c r="F94" s="8">
        <v>12.5</v>
      </c>
      <c r="G94">
        <v>44</v>
      </c>
      <c r="H94">
        <f t="shared" si="10"/>
        <v>3</v>
      </c>
      <c r="I94" s="9">
        <f t="shared" si="11"/>
        <v>16800</v>
      </c>
      <c r="J94" s="11">
        <f t="shared" si="12"/>
        <v>3.273809523809524E-2</v>
      </c>
      <c r="K94" t="str">
        <f t="shared" si="13"/>
        <v>March</v>
      </c>
      <c r="L94" t="str">
        <f t="shared" si="14"/>
        <v>2022</v>
      </c>
    </row>
    <row r="95" spans="1:12" x14ac:dyDescent="0.3">
      <c r="A95" t="s">
        <v>48</v>
      </c>
      <c r="B95" s="1">
        <v>44778</v>
      </c>
      <c r="C95" s="1">
        <v>44797</v>
      </c>
      <c r="D95" t="s">
        <v>12</v>
      </c>
      <c r="E95">
        <v>505</v>
      </c>
      <c r="F95" s="8">
        <v>45.42</v>
      </c>
      <c r="G95">
        <v>62</v>
      </c>
      <c r="H95">
        <f t="shared" si="10"/>
        <v>19</v>
      </c>
      <c r="I95" s="9">
        <f t="shared" si="11"/>
        <v>22937.100000000002</v>
      </c>
      <c r="J95" s="11">
        <f t="shared" si="12"/>
        <v>0.12277227722772277</v>
      </c>
      <c r="K95" t="str">
        <f t="shared" si="13"/>
        <v>August</v>
      </c>
      <c r="L95" t="str">
        <f t="shared" si="14"/>
        <v>2022</v>
      </c>
    </row>
    <row r="96" spans="1:12" x14ac:dyDescent="0.3">
      <c r="A96" t="s">
        <v>47</v>
      </c>
      <c r="B96" s="1">
        <v>45142</v>
      </c>
      <c r="C96" s="1">
        <v>45143</v>
      </c>
      <c r="D96" t="s">
        <v>11</v>
      </c>
      <c r="E96">
        <v>1535</v>
      </c>
      <c r="F96" s="8">
        <v>90.83</v>
      </c>
      <c r="G96">
        <v>151</v>
      </c>
      <c r="H96">
        <f t="shared" si="10"/>
        <v>1</v>
      </c>
      <c r="I96" s="9">
        <f t="shared" si="11"/>
        <v>139424.04999999999</v>
      </c>
      <c r="J96" s="11">
        <f t="shared" si="12"/>
        <v>9.8371335504885998E-2</v>
      </c>
      <c r="K96" t="str">
        <f t="shared" si="13"/>
        <v>August</v>
      </c>
      <c r="L96" t="str">
        <f t="shared" si="14"/>
        <v>2023</v>
      </c>
    </row>
    <row r="97" spans="1:12" x14ac:dyDescent="0.3">
      <c r="A97" t="s">
        <v>48</v>
      </c>
      <c r="B97" s="1">
        <v>44779</v>
      </c>
      <c r="C97" s="1">
        <v>44788</v>
      </c>
      <c r="D97" t="s">
        <v>12</v>
      </c>
      <c r="E97">
        <v>1325</v>
      </c>
      <c r="F97" s="8">
        <v>24.36</v>
      </c>
      <c r="G97">
        <v>206</v>
      </c>
      <c r="H97">
        <f t="shared" si="10"/>
        <v>9</v>
      </c>
      <c r="I97" s="9">
        <f t="shared" si="11"/>
        <v>32277</v>
      </c>
      <c r="J97" s="11">
        <f t="shared" si="12"/>
        <v>0.15547169811320755</v>
      </c>
      <c r="K97" t="str">
        <f t="shared" si="13"/>
        <v>August</v>
      </c>
      <c r="L97" t="str">
        <f t="shared" si="14"/>
        <v>2022</v>
      </c>
    </row>
    <row r="98" spans="1:12" x14ac:dyDescent="0.3">
      <c r="A98" t="s">
        <v>50</v>
      </c>
      <c r="B98" s="1">
        <v>45233</v>
      </c>
      <c r="C98" s="1">
        <v>45239</v>
      </c>
      <c r="D98" t="s">
        <v>12</v>
      </c>
      <c r="E98">
        <v>1066</v>
      </c>
      <c r="F98" s="8">
        <v>70.45</v>
      </c>
      <c r="G98">
        <v>56</v>
      </c>
      <c r="H98">
        <f t="shared" si="10"/>
        <v>6</v>
      </c>
      <c r="I98" s="9">
        <f t="shared" si="11"/>
        <v>75099.7</v>
      </c>
      <c r="J98" s="11">
        <f t="shared" si="12"/>
        <v>5.2532833020637902E-2</v>
      </c>
      <c r="K98" t="str">
        <f t="shared" si="13"/>
        <v>November</v>
      </c>
      <c r="L98" t="str">
        <f t="shared" si="14"/>
        <v>2023</v>
      </c>
    </row>
    <row r="99" spans="1:12" x14ac:dyDescent="0.3">
      <c r="A99" t="s">
        <v>47</v>
      </c>
      <c r="B99" s="1">
        <v>45073</v>
      </c>
      <c r="C99" s="1">
        <v>45088</v>
      </c>
      <c r="D99" t="s">
        <v>12</v>
      </c>
      <c r="E99">
        <v>1775</v>
      </c>
      <c r="F99" s="8">
        <v>47.82</v>
      </c>
      <c r="G99">
        <v>180</v>
      </c>
      <c r="H99">
        <f t="shared" si="10"/>
        <v>15</v>
      </c>
      <c r="I99" s="9">
        <f t="shared" si="11"/>
        <v>84880.5</v>
      </c>
      <c r="J99" s="11">
        <f t="shared" si="12"/>
        <v>0.10140845070422536</v>
      </c>
      <c r="K99" t="str">
        <f t="shared" si="13"/>
        <v>May</v>
      </c>
      <c r="L99" t="str">
        <f t="shared" si="14"/>
        <v>2023</v>
      </c>
    </row>
    <row r="100" spans="1:12" x14ac:dyDescent="0.3">
      <c r="A100" t="s">
        <v>47</v>
      </c>
      <c r="B100" s="1">
        <v>45220</v>
      </c>
      <c r="C100" s="1">
        <v>45239</v>
      </c>
      <c r="D100" t="s">
        <v>13</v>
      </c>
      <c r="E100">
        <v>1798</v>
      </c>
      <c r="F100" s="8">
        <v>94.8</v>
      </c>
      <c r="G100">
        <v>0</v>
      </c>
      <c r="H100">
        <f t="shared" si="10"/>
        <v>19</v>
      </c>
      <c r="I100" s="9">
        <f t="shared" si="11"/>
        <v>170450.4</v>
      </c>
      <c r="J100" s="11">
        <f t="shared" si="12"/>
        <v>0</v>
      </c>
      <c r="K100" t="str">
        <f t="shared" si="13"/>
        <v>October</v>
      </c>
      <c r="L100" t="str">
        <f t="shared" si="14"/>
        <v>2023</v>
      </c>
    </row>
    <row r="101" spans="1:12" x14ac:dyDescent="0.3">
      <c r="A101" t="s">
        <v>46</v>
      </c>
      <c r="B101" s="1">
        <v>45031</v>
      </c>
      <c r="C101" s="1">
        <v>45047</v>
      </c>
      <c r="D101" t="s">
        <v>10</v>
      </c>
      <c r="E101">
        <v>769</v>
      </c>
      <c r="F101" s="8">
        <v>91.86</v>
      </c>
      <c r="G101">
        <v>17</v>
      </c>
      <c r="H101">
        <f t="shared" si="10"/>
        <v>16</v>
      </c>
      <c r="I101" s="9">
        <f t="shared" si="11"/>
        <v>70640.34</v>
      </c>
      <c r="J101" s="11">
        <f t="shared" si="12"/>
        <v>2.2106631989596878E-2</v>
      </c>
      <c r="K101" t="str">
        <f t="shared" si="13"/>
        <v>April</v>
      </c>
      <c r="L101" t="str">
        <f t="shared" si="14"/>
        <v>2023</v>
      </c>
    </row>
    <row r="102" spans="1:12" x14ac:dyDescent="0.3">
      <c r="A102" t="s">
        <v>48</v>
      </c>
      <c r="B102" s="1">
        <v>44833</v>
      </c>
      <c r="C102" s="1">
        <v>44847</v>
      </c>
      <c r="D102" t="s">
        <v>11</v>
      </c>
      <c r="E102">
        <v>387</v>
      </c>
      <c r="F102" s="8">
        <v>49.23</v>
      </c>
      <c r="G102">
        <v>61</v>
      </c>
      <c r="H102">
        <f t="shared" si="10"/>
        <v>14</v>
      </c>
      <c r="I102" s="9">
        <f t="shared" si="11"/>
        <v>19052.009999999998</v>
      </c>
      <c r="J102" s="11">
        <f t="shared" si="12"/>
        <v>0.15762273901808785</v>
      </c>
      <c r="K102" t="str">
        <f t="shared" si="13"/>
        <v>September</v>
      </c>
      <c r="L102" t="str">
        <f t="shared" si="14"/>
        <v>2022</v>
      </c>
    </row>
    <row r="103" spans="1:12" x14ac:dyDescent="0.3">
      <c r="A103" t="s">
        <v>49</v>
      </c>
      <c r="B103" s="1">
        <v>44704</v>
      </c>
      <c r="C103" s="1">
        <v>44708</v>
      </c>
      <c r="D103" t="s">
        <v>10</v>
      </c>
      <c r="E103">
        <v>928</v>
      </c>
      <c r="F103" s="8">
        <v>35.299999999999997</v>
      </c>
      <c r="G103">
        <v>26</v>
      </c>
      <c r="H103">
        <f t="shared" si="10"/>
        <v>4</v>
      </c>
      <c r="I103" s="9">
        <f t="shared" si="11"/>
        <v>32758.399999999998</v>
      </c>
      <c r="J103" s="11">
        <f t="shared" si="12"/>
        <v>2.8017241379310345E-2</v>
      </c>
      <c r="K103" t="str">
        <f t="shared" si="13"/>
        <v>May</v>
      </c>
      <c r="L103" t="str">
        <f t="shared" si="14"/>
        <v>2022</v>
      </c>
    </row>
    <row r="104" spans="1:12" x14ac:dyDescent="0.3">
      <c r="A104" t="s">
        <v>46</v>
      </c>
      <c r="B104" s="1">
        <v>44814</v>
      </c>
      <c r="C104" s="1">
        <v>44825</v>
      </c>
      <c r="D104" t="s">
        <v>11</v>
      </c>
      <c r="E104">
        <v>1126</v>
      </c>
      <c r="F104" s="8">
        <v>15.68</v>
      </c>
      <c r="G104">
        <v>27</v>
      </c>
      <c r="H104">
        <f t="shared" si="10"/>
        <v>11</v>
      </c>
      <c r="I104" s="9">
        <f t="shared" si="11"/>
        <v>17655.68</v>
      </c>
      <c r="J104" s="11">
        <f t="shared" si="12"/>
        <v>2.3978685612788632E-2</v>
      </c>
      <c r="K104" t="str">
        <f t="shared" si="13"/>
        <v>September</v>
      </c>
      <c r="L104" t="str">
        <f t="shared" si="14"/>
        <v>2022</v>
      </c>
    </row>
    <row r="105" spans="1:12" x14ac:dyDescent="0.3">
      <c r="A105" t="s">
        <v>47</v>
      </c>
      <c r="B105" s="1">
        <v>45136</v>
      </c>
      <c r="C105" s="1">
        <v>45152</v>
      </c>
      <c r="D105" t="s">
        <v>12</v>
      </c>
      <c r="E105">
        <v>841</v>
      </c>
      <c r="F105" s="8">
        <v>95.73</v>
      </c>
      <c r="G105">
        <v>81</v>
      </c>
      <c r="H105">
        <f t="shared" si="10"/>
        <v>16</v>
      </c>
      <c r="I105" s="9">
        <f t="shared" si="11"/>
        <v>80508.930000000008</v>
      </c>
      <c r="J105" s="11">
        <f t="shared" si="12"/>
        <v>9.631391200951249E-2</v>
      </c>
      <c r="K105" t="str">
        <f t="shared" si="13"/>
        <v>July</v>
      </c>
      <c r="L105" t="str">
        <f t="shared" si="14"/>
        <v>2023</v>
      </c>
    </row>
    <row r="106" spans="1:12" x14ac:dyDescent="0.3">
      <c r="A106" t="s">
        <v>47</v>
      </c>
      <c r="B106" s="1">
        <v>45113</v>
      </c>
      <c r="C106" s="1">
        <v>45126</v>
      </c>
      <c r="D106" t="s">
        <v>13</v>
      </c>
      <c r="E106">
        <v>1995</v>
      </c>
      <c r="F106" s="8">
        <v>90.65</v>
      </c>
      <c r="G106">
        <v>206</v>
      </c>
      <c r="H106">
        <f t="shared" si="10"/>
        <v>13</v>
      </c>
      <c r="I106" s="9">
        <f t="shared" si="11"/>
        <v>180846.75</v>
      </c>
      <c r="J106" s="11">
        <f t="shared" si="12"/>
        <v>0.10325814536340852</v>
      </c>
      <c r="K106" t="str">
        <f t="shared" si="13"/>
        <v>July</v>
      </c>
      <c r="L106" t="str">
        <f t="shared" si="14"/>
        <v>2023</v>
      </c>
    </row>
    <row r="107" spans="1:12" x14ac:dyDescent="0.3">
      <c r="A107" t="s">
        <v>46</v>
      </c>
      <c r="B107" s="1">
        <v>44831</v>
      </c>
      <c r="C107" s="1">
        <v>44849</v>
      </c>
      <c r="D107" t="s">
        <v>12</v>
      </c>
      <c r="E107">
        <v>266</v>
      </c>
      <c r="F107" s="8">
        <v>103.97</v>
      </c>
      <c r="G107">
        <v>6</v>
      </c>
      <c r="H107">
        <f t="shared" si="10"/>
        <v>18</v>
      </c>
      <c r="I107" s="9">
        <f t="shared" si="11"/>
        <v>27656.02</v>
      </c>
      <c r="J107" s="11">
        <f t="shared" si="12"/>
        <v>2.2556390977443608E-2</v>
      </c>
      <c r="K107" t="str">
        <f t="shared" si="13"/>
        <v>September</v>
      </c>
      <c r="L107" t="str">
        <f t="shared" si="14"/>
        <v>2022</v>
      </c>
    </row>
    <row r="108" spans="1:12" x14ac:dyDescent="0.3">
      <c r="A108" t="s">
        <v>46</v>
      </c>
      <c r="B108" s="1">
        <v>45160</v>
      </c>
      <c r="C108" s="1">
        <v>45163</v>
      </c>
      <c r="D108" t="s">
        <v>12</v>
      </c>
      <c r="E108">
        <v>813</v>
      </c>
      <c r="F108" s="8">
        <v>109.17</v>
      </c>
      <c r="G108">
        <v>14</v>
      </c>
      <c r="H108">
        <f t="shared" si="10"/>
        <v>3</v>
      </c>
      <c r="I108" s="9">
        <f t="shared" si="11"/>
        <v>88755.21</v>
      </c>
      <c r="J108" s="11">
        <f t="shared" si="12"/>
        <v>1.7220172201722016E-2</v>
      </c>
      <c r="K108" t="str">
        <f t="shared" si="13"/>
        <v>August</v>
      </c>
      <c r="L108" t="str">
        <f t="shared" si="14"/>
        <v>2023</v>
      </c>
    </row>
    <row r="109" spans="1:12" x14ac:dyDescent="0.3">
      <c r="A109" t="s">
        <v>49</v>
      </c>
      <c r="B109" s="1">
        <v>45000</v>
      </c>
      <c r="C109" s="1">
        <v>45011</v>
      </c>
      <c r="D109" t="s">
        <v>13</v>
      </c>
      <c r="E109">
        <v>237</v>
      </c>
      <c r="F109" s="8">
        <v>64.19</v>
      </c>
      <c r="G109">
        <v>7</v>
      </c>
      <c r="H109">
        <f t="shared" si="10"/>
        <v>11</v>
      </c>
      <c r="I109" s="9">
        <f t="shared" si="11"/>
        <v>15213.029999999999</v>
      </c>
      <c r="J109" s="11">
        <f t="shared" si="12"/>
        <v>2.9535864978902954E-2</v>
      </c>
      <c r="K109" t="str">
        <f t="shared" si="13"/>
        <v>March</v>
      </c>
      <c r="L109" t="str">
        <f t="shared" si="14"/>
        <v>2023</v>
      </c>
    </row>
    <row r="110" spans="1:12" x14ac:dyDescent="0.3">
      <c r="A110" t="s">
        <v>46</v>
      </c>
      <c r="B110" s="1">
        <v>45159</v>
      </c>
      <c r="C110" s="1">
        <v>45172</v>
      </c>
      <c r="D110" t="s">
        <v>9</v>
      </c>
      <c r="E110">
        <v>429</v>
      </c>
      <c r="F110" s="8">
        <v>86.73</v>
      </c>
      <c r="G110">
        <v>9</v>
      </c>
      <c r="H110">
        <f t="shared" si="10"/>
        <v>13</v>
      </c>
      <c r="I110" s="9">
        <f t="shared" si="11"/>
        <v>37207.17</v>
      </c>
      <c r="J110" s="11">
        <f t="shared" si="12"/>
        <v>2.097902097902098E-2</v>
      </c>
      <c r="K110" t="str">
        <f t="shared" si="13"/>
        <v>August</v>
      </c>
      <c r="L110" t="str">
        <f t="shared" si="14"/>
        <v>2023</v>
      </c>
    </row>
    <row r="111" spans="1:12" x14ac:dyDescent="0.3">
      <c r="A111" t="s">
        <v>48</v>
      </c>
      <c r="B111" s="1">
        <v>44970</v>
      </c>
      <c r="C111" s="1">
        <v>44971</v>
      </c>
      <c r="D111" t="s">
        <v>11</v>
      </c>
      <c r="E111">
        <v>542</v>
      </c>
      <c r="F111" s="8">
        <v>101.21</v>
      </c>
      <c r="G111">
        <v>78</v>
      </c>
      <c r="H111">
        <f t="shared" si="10"/>
        <v>1</v>
      </c>
      <c r="I111" s="9">
        <f t="shared" si="11"/>
        <v>54855.82</v>
      </c>
      <c r="J111" s="11">
        <f t="shared" si="12"/>
        <v>0.14391143911439114</v>
      </c>
      <c r="K111" t="str">
        <f t="shared" si="13"/>
        <v>February</v>
      </c>
      <c r="L111" t="str">
        <f t="shared" si="14"/>
        <v>2023</v>
      </c>
    </row>
    <row r="112" spans="1:12" x14ac:dyDescent="0.3">
      <c r="A112" t="s">
        <v>46</v>
      </c>
      <c r="B112" s="1">
        <v>44589</v>
      </c>
      <c r="C112" s="1">
        <v>44607</v>
      </c>
      <c r="D112" t="s">
        <v>10</v>
      </c>
      <c r="E112">
        <v>84</v>
      </c>
      <c r="F112" s="8">
        <v>18.23</v>
      </c>
      <c r="G112">
        <v>0</v>
      </c>
      <c r="H112">
        <f t="shared" si="10"/>
        <v>18</v>
      </c>
      <c r="I112" s="9">
        <f t="shared" si="11"/>
        <v>1531.32</v>
      </c>
      <c r="J112" s="11">
        <f t="shared" si="12"/>
        <v>0</v>
      </c>
      <c r="K112" t="str">
        <f t="shared" si="13"/>
        <v>January</v>
      </c>
      <c r="L112" t="str">
        <f t="shared" si="14"/>
        <v>2022</v>
      </c>
    </row>
    <row r="113" spans="1:12" x14ac:dyDescent="0.3">
      <c r="A113" t="s">
        <v>46</v>
      </c>
      <c r="B113" s="1">
        <v>44786</v>
      </c>
      <c r="C113" s="1">
        <v>44788</v>
      </c>
      <c r="D113" t="s">
        <v>10</v>
      </c>
      <c r="E113">
        <v>1230</v>
      </c>
      <c r="F113" s="8">
        <v>33.39</v>
      </c>
      <c r="G113">
        <v>26</v>
      </c>
      <c r="H113">
        <f t="shared" si="10"/>
        <v>2</v>
      </c>
      <c r="I113" s="9">
        <f t="shared" si="11"/>
        <v>41069.699999999997</v>
      </c>
      <c r="J113" s="11">
        <f t="shared" si="12"/>
        <v>2.113821138211382E-2</v>
      </c>
      <c r="K113" t="str">
        <f t="shared" si="13"/>
        <v>August</v>
      </c>
      <c r="L113" t="str">
        <f t="shared" si="14"/>
        <v>2022</v>
      </c>
    </row>
    <row r="114" spans="1:12" x14ac:dyDescent="0.3">
      <c r="A114" t="s">
        <v>47</v>
      </c>
      <c r="B114" s="1">
        <v>44703</v>
      </c>
      <c r="C114" s="1">
        <v>44715</v>
      </c>
      <c r="D114" t="s">
        <v>10</v>
      </c>
      <c r="E114">
        <v>64</v>
      </c>
      <c r="F114" s="8">
        <v>51.56</v>
      </c>
      <c r="G114">
        <v>5</v>
      </c>
      <c r="H114">
        <f t="shared" si="10"/>
        <v>12</v>
      </c>
      <c r="I114" s="9">
        <f t="shared" si="11"/>
        <v>3299.84</v>
      </c>
      <c r="J114" s="11">
        <f t="shared" si="12"/>
        <v>7.8125E-2</v>
      </c>
      <c r="K114" t="str">
        <f t="shared" si="13"/>
        <v>May</v>
      </c>
      <c r="L114" t="str">
        <f t="shared" si="14"/>
        <v>2022</v>
      </c>
    </row>
    <row r="115" spans="1:12" x14ac:dyDescent="0.3">
      <c r="A115" t="s">
        <v>46</v>
      </c>
      <c r="B115" s="1">
        <v>45083</v>
      </c>
      <c r="C115" s="1">
        <v>45099</v>
      </c>
      <c r="D115" t="s">
        <v>10</v>
      </c>
      <c r="E115">
        <v>1886</v>
      </c>
      <c r="F115" s="8">
        <v>23.46</v>
      </c>
      <c r="G115">
        <v>0</v>
      </c>
      <c r="H115">
        <f t="shared" si="10"/>
        <v>16</v>
      </c>
      <c r="I115" s="9">
        <f t="shared" si="11"/>
        <v>44245.560000000005</v>
      </c>
      <c r="J115" s="11">
        <f t="shared" si="12"/>
        <v>0</v>
      </c>
      <c r="K115" t="str">
        <f t="shared" si="13"/>
        <v>June</v>
      </c>
      <c r="L115" t="str">
        <f t="shared" si="14"/>
        <v>2023</v>
      </c>
    </row>
    <row r="116" spans="1:12" x14ac:dyDescent="0.3">
      <c r="A116" t="s">
        <v>48</v>
      </c>
      <c r="B116" s="1">
        <v>45067</v>
      </c>
      <c r="C116" s="1">
        <v>45069</v>
      </c>
      <c r="D116" t="s">
        <v>9</v>
      </c>
      <c r="E116">
        <v>114</v>
      </c>
      <c r="F116" s="8">
        <v>103.53</v>
      </c>
      <c r="G116">
        <v>14</v>
      </c>
      <c r="H116">
        <f t="shared" si="10"/>
        <v>2</v>
      </c>
      <c r="I116" s="9">
        <f t="shared" si="11"/>
        <v>11802.42</v>
      </c>
      <c r="J116" s="11">
        <f t="shared" si="12"/>
        <v>0.12280701754385964</v>
      </c>
      <c r="K116" t="str">
        <f t="shared" si="13"/>
        <v>May</v>
      </c>
      <c r="L116" t="str">
        <f t="shared" si="14"/>
        <v>2023</v>
      </c>
    </row>
    <row r="117" spans="1:12" x14ac:dyDescent="0.3">
      <c r="A117" t="s">
        <v>48</v>
      </c>
      <c r="B117" s="1">
        <v>44655</v>
      </c>
      <c r="C117" s="1">
        <v>44673</v>
      </c>
      <c r="D117" t="s">
        <v>13</v>
      </c>
      <c r="E117">
        <v>1930</v>
      </c>
      <c r="F117" s="8">
        <v>65.52</v>
      </c>
      <c r="G117">
        <v>282</v>
      </c>
      <c r="H117">
        <f t="shared" si="10"/>
        <v>18</v>
      </c>
      <c r="I117" s="9">
        <f t="shared" si="11"/>
        <v>126453.59999999999</v>
      </c>
      <c r="J117" s="11">
        <f t="shared" si="12"/>
        <v>0.14611398963730571</v>
      </c>
      <c r="K117" t="str">
        <f t="shared" si="13"/>
        <v>April</v>
      </c>
      <c r="L117" t="str">
        <f t="shared" si="14"/>
        <v>2022</v>
      </c>
    </row>
    <row r="118" spans="1:12" x14ac:dyDescent="0.3">
      <c r="A118" t="s">
        <v>47</v>
      </c>
      <c r="B118" s="1">
        <v>44610</v>
      </c>
      <c r="C118" s="1">
        <v>44620</v>
      </c>
      <c r="D118" t="s">
        <v>9</v>
      </c>
      <c r="E118">
        <v>1912</v>
      </c>
      <c r="F118" s="8">
        <v>30.73</v>
      </c>
      <c r="G118">
        <v>191</v>
      </c>
      <c r="H118">
        <f t="shared" si="10"/>
        <v>10</v>
      </c>
      <c r="I118" s="9">
        <f t="shared" si="11"/>
        <v>58755.76</v>
      </c>
      <c r="J118" s="11">
        <f t="shared" si="12"/>
        <v>9.9895397489539753E-2</v>
      </c>
      <c r="K118" t="str">
        <f t="shared" si="13"/>
        <v>February</v>
      </c>
      <c r="L118" t="str">
        <f t="shared" si="14"/>
        <v>2022</v>
      </c>
    </row>
    <row r="119" spans="1:12" x14ac:dyDescent="0.3">
      <c r="A119" t="s">
        <v>49</v>
      </c>
      <c r="B119" s="1">
        <v>44674</v>
      </c>
      <c r="C119" s="1">
        <v>44690</v>
      </c>
      <c r="D119" t="s">
        <v>10</v>
      </c>
      <c r="E119">
        <v>570</v>
      </c>
      <c r="F119" s="8">
        <v>71.510000000000005</v>
      </c>
      <c r="G119">
        <v>0</v>
      </c>
      <c r="H119">
        <f t="shared" si="10"/>
        <v>16</v>
      </c>
      <c r="I119" s="9">
        <f t="shared" si="11"/>
        <v>40760.700000000004</v>
      </c>
      <c r="J119" s="11">
        <f t="shared" si="12"/>
        <v>0</v>
      </c>
      <c r="K119" t="str">
        <f t="shared" si="13"/>
        <v>April</v>
      </c>
      <c r="L119" t="str">
        <f t="shared" si="14"/>
        <v>2022</v>
      </c>
    </row>
    <row r="120" spans="1:12" x14ac:dyDescent="0.3">
      <c r="A120" t="s">
        <v>47</v>
      </c>
      <c r="B120" s="1">
        <v>44718</v>
      </c>
      <c r="C120" s="1">
        <v>44738</v>
      </c>
      <c r="D120" t="s">
        <v>12</v>
      </c>
      <c r="E120">
        <v>1417</v>
      </c>
      <c r="F120" s="8">
        <v>67.27</v>
      </c>
      <c r="G120">
        <v>0</v>
      </c>
      <c r="H120">
        <f t="shared" si="10"/>
        <v>20</v>
      </c>
      <c r="I120" s="9">
        <f t="shared" si="11"/>
        <v>95321.59</v>
      </c>
      <c r="J120" s="11">
        <f t="shared" si="12"/>
        <v>0</v>
      </c>
      <c r="K120" t="str">
        <f t="shared" si="13"/>
        <v>June</v>
      </c>
      <c r="L120" t="str">
        <f t="shared" si="14"/>
        <v>2022</v>
      </c>
    </row>
    <row r="121" spans="1:12" x14ac:dyDescent="0.3">
      <c r="A121" t="s">
        <v>46</v>
      </c>
      <c r="B121" s="1">
        <v>45204</v>
      </c>
      <c r="C121" s="1">
        <v>45210</v>
      </c>
      <c r="D121" t="s">
        <v>12</v>
      </c>
      <c r="E121">
        <v>1202</v>
      </c>
      <c r="F121" s="8">
        <v>46.67</v>
      </c>
      <c r="G121">
        <v>21</v>
      </c>
      <c r="H121">
        <f t="shared" si="10"/>
        <v>6</v>
      </c>
      <c r="I121" s="9">
        <f t="shared" si="11"/>
        <v>56097.340000000004</v>
      </c>
      <c r="J121" s="11">
        <f t="shared" si="12"/>
        <v>1.747088186356073E-2</v>
      </c>
      <c r="K121" t="str">
        <f t="shared" si="13"/>
        <v>October</v>
      </c>
      <c r="L121" t="str">
        <f t="shared" si="14"/>
        <v>2023</v>
      </c>
    </row>
    <row r="122" spans="1:12" x14ac:dyDescent="0.3">
      <c r="A122" t="s">
        <v>47</v>
      </c>
      <c r="B122" s="1">
        <v>44725</v>
      </c>
      <c r="C122" s="1">
        <v>44726</v>
      </c>
      <c r="D122" t="s">
        <v>9</v>
      </c>
      <c r="E122">
        <v>697</v>
      </c>
      <c r="F122" s="8">
        <v>20.73</v>
      </c>
      <c r="G122">
        <v>78</v>
      </c>
      <c r="H122">
        <f t="shared" si="10"/>
        <v>1</v>
      </c>
      <c r="I122" s="9">
        <f t="shared" si="11"/>
        <v>14448.81</v>
      </c>
      <c r="J122" s="11">
        <f t="shared" si="12"/>
        <v>0.11190817790530846</v>
      </c>
      <c r="K122" t="str">
        <f t="shared" si="13"/>
        <v>June</v>
      </c>
      <c r="L122" t="str">
        <f t="shared" si="14"/>
        <v>2022</v>
      </c>
    </row>
    <row r="123" spans="1:12" x14ac:dyDescent="0.3">
      <c r="A123" t="s">
        <v>49</v>
      </c>
      <c r="B123" s="1">
        <v>45258</v>
      </c>
      <c r="C123" s="1">
        <v>45261</v>
      </c>
      <c r="D123" t="s">
        <v>10</v>
      </c>
      <c r="E123">
        <v>1545</v>
      </c>
      <c r="F123" s="8">
        <v>78.19</v>
      </c>
      <c r="G123">
        <v>42</v>
      </c>
      <c r="H123">
        <f t="shared" si="10"/>
        <v>3</v>
      </c>
      <c r="I123" s="9">
        <f t="shared" si="11"/>
        <v>120803.55</v>
      </c>
      <c r="J123" s="11">
        <f t="shared" si="12"/>
        <v>2.7184466019417475E-2</v>
      </c>
      <c r="K123" t="str">
        <f t="shared" si="13"/>
        <v>November</v>
      </c>
      <c r="L123" t="str">
        <f t="shared" si="14"/>
        <v>2023</v>
      </c>
    </row>
    <row r="124" spans="1:12" x14ac:dyDescent="0.3">
      <c r="A124" t="s">
        <v>50</v>
      </c>
      <c r="B124" s="1">
        <v>44994</v>
      </c>
      <c r="C124" s="1">
        <v>44998</v>
      </c>
      <c r="D124" t="s">
        <v>10</v>
      </c>
      <c r="E124">
        <v>1136</v>
      </c>
      <c r="F124" s="8">
        <v>60.81</v>
      </c>
      <c r="G124">
        <v>62</v>
      </c>
      <c r="H124">
        <f t="shared" si="10"/>
        <v>4</v>
      </c>
      <c r="I124" s="9">
        <f t="shared" si="11"/>
        <v>69080.160000000003</v>
      </c>
      <c r="J124" s="11">
        <f t="shared" si="12"/>
        <v>5.4577464788732391E-2</v>
      </c>
      <c r="K124" t="str">
        <f t="shared" si="13"/>
        <v>March</v>
      </c>
      <c r="L124" t="str">
        <f t="shared" si="14"/>
        <v>2023</v>
      </c>
    </row>
    <row r="125" spans="1:12" x14ac:dyDescent="0.3">
      <c r="A125" t="s">
        <v>47</v>
      </c>
      <c r="B125" s="1">
        <v>45172</v>
      </c>
      <c r="C125" s="1">
        <v>45176</v>
      </c>
      <c r="D125" t="s">
        <v>10</v>
      </c>
      <c r="E125">
        <v>1212</v>
      </c>
      <c r="F125" s="8">
        <v>87.46</v>
      </c>
      <c r="G125">
        <v>118</v>
      </c>
      <c r="H125">
        <f t="shared" si="10"/>
        <v>4</v>
      </c>
      <c r="I125" s="9">
        <f t="shared" si="11"/>
        <v>106001.51999999999</v>
      </c>
      <c r="J125" s="11">
        <f t="shared" si="12"/>
        <v>9.7359735973597358E-2</v>
      </c>
      <c r="K125" t="str">
        <f t="shared" si="13"/>
        <v>September</v>
      </c>
      <c r="L125" t="str">
        <f t="shared" si="14"/>
        <v>2023</v>
      </c>
    </row>
    <row r="126" spans="1:12" x14ac:dyDescent="0.3">
      <c r="A126" t="s">
        <v>49</v>
      </c>
      <c r="B126" s="1">
        <v>44627</v>
      </c>
      <c r="C126" s="1">
        <v>44632</v>
      </c>
      <c r="D126" t="s">
        <v>10</v>
      </c>
      <c r="E126">
        <v>1572</v>
      </c>
      <c r="F126" s="8">
        <v>57.38</v>
      </c>
      <c r="G126">
        <v>40</v>
      </c>
      <c r="H126">
        <f t="shared" si="10"/>
        <v>5</v>
      </c>
      <c r="I126" s="9">
        <f t="shared" si="11"/>
        <v>90201.36</v>
      </c>
      <c r="J126" s="11">
        <f t="shared" si="12"/>
        <v>2.5445292620865138E-2</v>
      </c>
      <c r="K126" t="str">
        <f t="shared" si="13"/>
        <v>March</v>
      </c>
      <c r="L126" t="str">
        <f t="shared" si="14"/>
        <v>2022</v>
      </c>
    </row>
    <row r="127" spans="1:12" x14ac:dyDescent="0.3">
      <c r="A127" t="s">
        <v>46</v>
      </c>
      <c r="B127" s="1">
        <v>44589</v>
      </c>
      <c r="C127" s="1">
        <v>44599</v>
      </c>
      <c r="D127" t="s">
        <v>10</v>
      </c>
      <c r="E127">
        <v>654</v>
      </c>
      <c r="F127" s="8">
        <v>96.01</v>
      </c>
      <c r="G127">
        <v>10</v>
      </c>
      <c r="H127">
        <f t="shared" si="10"/>
        <v>10</v>
      </c>
      <c r="I127" s="9">
        <f t="shared" si="11"/>
        <v>62790.54</v>
      </c>
      <c r="J127" s="11">
        <f t="shared" si="12"/>
        <v>1.5290519877675841E-2</v>
      </c>
      <c r="K127" t="str">
        <f t="shared" si="13"/>
        <v>January</v>
      </c>
      <c r="L127" t="str">
        <f t="shared" si="14"/>
        <v>2022</v>
      </c>
    </row>
    <row r="128" spans="1:12" x14ac:dyDescent="0.3">
      <c r="A128" t="s">
        <v>47</v>
      </c>
      <c r="B128" s="1">
        <v>44944</v>
      </c>
      <c r="C128" s="1">
        <v>44953</v>
      </c>
      <c r="D128" t="s">
        <v>12</v>
      </c>
      <c r="E128">
        <v>692</v>
      </c>
      <c r="F128" s="8">
        <v>71.03</v>
      </c>
      <c r="G128">
        <v>70</v>
      </c>
      <c r="H128">
        <f t="shared" si="10"/>
        <v>9</v>
      </c>
      <c r="I128" s="9">
        <f t="shared" si="11"/>
        <v>49152.76</v>
      </c>
      <c r="J128" s="11">
        <f t="shared" si="12"/>
        <v>0.10115606936416185</v>
      </c>
      <c r="K128" t="str">
        <f t="shared" si="13"/>
        <v>January</v>
      </c>
      <c r="L128" t="str">
        <f t="shared" si="14"/>
        <v>2023</v>
      </c>
    </row>
    <row r="129" spans="1:12" x14ac:dyDescent="0.3">
      <c r="A129" t="s">
        <v>49</v>
      </c>
      <c r="B129" s="1">
        <v>45172</v>
      </c>
      <c r="C129" s="1">
        <v>45188</v>
      </c>
      <c r="D129" t="s">
        <v>9</v>
      </c>
      <c r="E129">
        <v>1748</v>
      </c>
      <c r="F129" s="8">
        <v>66.53</v>
      </c>
      <c r="G129">
        <v>0</v>
      </c>
      <c r="H129">
        <f t="shared" si="10"/>
        <v>16</v>
      </c>
      <c r="I129" s="9">
        <f t="shared" si="11"/>
        <v>116294.44</v>
      </c>
      <c r="J129" s="11">
        <f t="shared" si="12"/>
        <v>0</v>
      </c>
      <c r="K129" t="str">
        <f t="shared" si="13"/>
        <v>September</v>
      </c>
      <c r="L129" t="str">
        <f t="shared" si="14"/>
        <v>2023</v>
      </c>
    </row>
    <row r="130" spans="1:12" x14ac:dyDescent="0.3">
      <c r="A130" t="s">
        <v>47</v>
      </c>
      <c r="B130" s="1">
        <v>45103</v>
      </c>
      <c r="C130" s="1">
        <v>45121</v>
      </c>
      <c r="D130" t="s">
        <v>12</v>
      </c>
      <c r="E130">
        <v>338</v>
      </c>
      <c r="F130" s="8">
        <v>50.25</v>
      </c>
      <c r="G130">
        <v>49</v>
      </c>
      <c r="H130">
        <f t="shared" si="10"/>
        <v>18</v>
      </c>
      <c r="I130" s="9">
        <f t="shared" si="11"/>
        <v>16984.5</v>
      </c>
      <c r="J130" s="11">
        <f t="shared" si="12"/>
        <v>0.14497041420118342</v>
      </c>
      <c r="K130" t="str">
        <f t="shared" si="13"/>
        <v>June</v>
      </c>
      <c r="L130" t="str">
        <f t="shared" si="14"/>
        <v>2023</v>
      </c>
    </row>
    <row r="131" spans="1:12" x14ac:dyDescent="0.3">
      <c r="A131" t="s">
        <v>50</v>
      </c>
      <c r="B131" s="1">
        <v>44819</v>
      </c>
      <c r="C131" s="1">
        <v>44826</v>
      </c>
      <c r="D131" t="s">
        <v>9</v>
      </c>
      <c r="E131">
        <v>428</v>
      </c>
      <c r="F131" s="8">
        <v>22.94</v>
      </c>
      <c r="G131">
        <v>26</v>
      </c>
      <c r="H131">
        <f t="shared" si="10"/>
        <v>7</v>
      </c>
      <c r="I131" s="9">
        <f t="shared" si="11"/>
        <v>9818.32</v>
      </c>
      <c r="J131" s="11">
        <f t="shared" si="12"/>
        <v>6.0747663551401869E-2</v>
      </c>
      <c r="K131" t="str">
        <f t="shared" si="13"/>
        <v>September</v>
      </c>
      <c r="L131" t="str">
        <f t="shared" si="14"/>
        <v>2022</v>
      </c>
    </row>
    <row r="132" spans="1:12" x14ac:dyDescent="0.3">
      <c r="A132" t="s">
        <v>47</v>
      </c>
      <c r="B132" s="1">
        <v>44933</v>
      </c>
      <c r="C132" s="1">
        <v>44947</v>
      </c>
      <c r="D132" t="s">
        <v>13</v>
      </c>
      <c r="E132">
        <v>256</v>
      </c>
      <c r="F132" s="8">
        <v>96.15</v>
      </c>
      <c r="G132">
        <v>26</v>
      </c>
      <c r="H132">
        <f t="shared" ref="H132:H195" si="15" xml:space="preserve"> C132-B132</f>
        <v>14</v>
      </c>
      <c r="I132" s="9">
        <f t="shared" ref="I132:I195" si="16">F132*E132</f>
        <v>24614.400000000001</v>
      </c>
      <c r="J132" s="11">
        <f t="shared" ref="J132:J195" si="17">(G132/E132)</f>
        <v>0.1015625</v>
      </c>
      <c r="K132" t="str">
        <f t="shared" ref="K132:K195" si="18">TEXT(B132,"mmmm")</f>
        <v>January</v>
      </c>
      <c r="L132" t="str">
        <f t="shared" ref="L132:L195" si="19">TEXT(B132,"yyyy")</f>
        <v>2023</v>
      </c>
    </row>
    <row r="133" spans="1:12" x14ac:dyDescent="0.3">
      <c r="A133" t="s">
        <v>47</v>
      </c>
      <c r="B133" s="1">
        <v>45258</v>
      </c>
      <c r="C133" s="1">
        <v>45267</v>
      </c>
      <c r="D133" t="s">
        <v>9</v>
      </c>
      <c r="E133">
        <v>280</v>
      </c>
      <c r="F133" s="8">
        <v>73.069999999999993</v>
      </c>
      <c r="G133">
        <v>30</v>
      </c>
      <c r="H133">
        <f t="shared" si="15"/>
        <v>9</v>
      </c>
      <c r="I133" s="9">
        <f t="shared" si="16"/>
        <v>20459.599999999999</v>
      </c>
      <c r="J133" s="11">
        <f t="shared" si="17"/>
        <v>0.10714285714285714</v>
      </c>
      <c r="K133" t="str">
        <f t="shared" si="18"/>
        <v>November</v>
      </c>
      <c r="L133" t="str">
        <f t="shared" si="19"/>
        <v>2023</v>
      </c>
    </row>
    <row r="134" spans="1:12" x14ac:dyDescent="0.3">
      <c r="A134" t="s">
        <v>48</v>
      </c>
      <c r="B134" s="1">
        <v>44679</v>
      </c>
      <c r="C134" s="1">
        <v>44693</v>
      </c>
      <c r="D134" t="s">
        <v>12</v>
      </c>
      <c r="E134">
        <v>1067</v>
      </c>
      <c r="F134" s="8">
        <v>74.47</v>
      </c>
      <c r="G134">
        <v>0</v>
      </c>
      <c r="H134">
        <f t="shared" si="15"/>
        <v>14</v>
      </c>
      <c r="I134" s="9">
        <f t="shared" si="16"/>
        <v>79459.490000000005</v>
      </c>
      <c r="J134" s="11">
        <f t="shared" si="17"/>
        <v>0</v>
      </c>
      <c r="K134" t="str">
        <f t="shared" si="18"/>
        <v>April</v>
      </c>
      <c r="L134" t="str">
        <f t="shared" si="19"/>
        <v>2022</v>
      </c>
    </row>
    <row r="135" spans="1:12" x14ac:dyDescent="0.3">
      <c r="A135" t="s">
        <v>50</v>
      </c>
      <c r="B135" s="1">
        <v>45260</v>
      </c>
      <c r="C135" s="1">
        <v>45277</v>
      </c>
      <c r="D135" t="s">
        <v>13</v>
      </c>
      <c r="E135">
        <v>90</v>
      </c>
      <c r="F135" s="8">
        <v>32.380000000000003</v>
      </c>
      <c r="G135">
        <v>7</v>
      </c>
      <c r="H135">
        <f t="shared" si="15"/>
        <v>17</v>
      </c>
      <c r="I135" s="9">
        <f t="shared" si="16"/>
        <v>2914.2000000000003</v>
      </c>
      <c r="J135" s="11">
        <f t="shared" si="17"/>
        <v>7.7777777777777779E-2</v>
      </c>
      <c r="K135" t="str">
        <f t="shared" si="18"/>
        <v>November</v>
      </c>
      <c r="L135" t="str">
        <f t="shared" si="19"/>
        <v>2023</v>
      </c>
    </row>
    <row r="136" spans="1:12" x14ac:dyDescent="0.3">
      <c r="A136" t="s">
        <v>50</v>
      </c>
      <c r="B136" s="1">
        <v>45111</v>
      </c>
      <c r="C136" s="1">
        <v>45112</v>
      </c>
      <c r="D136" t="s">
        <v>12</v>
      </c>
      <c r="E136">
        <v>1101</v>
      </c>
      <c r="F136" s="8">
        <v>24.28</v>
      </c>
      <c r="G136">
        <v>59</v>
      </c>
      <c r="H136">
        <f t="shared" si="15"/>
        <v>1</v>
      </c>
      <c r="I136" s="9">
        <f t="shared" si="16"/>
        <v>26732.280000000002</v>
      </c>
      <c r="J136" s="11">
        <f t="shared" si="17"/>
        <v>5.3587647593097185E-2</v>
      </c>
      <c r="K136" t="str">
        <f t="shared" si="18"/>
        <v>July</v>
      </c>
      <c r="L136" t="str">
        <f t="shared" si="19"/>
        <v>2023</v>
      </c>
    </row>
    <row r="137" spans="1:12" x14ac:dyDescent="0.3">
      <c r="A137" t="s">
        <v>46</v>
      </c>
      <c r="B137" s="1">
        <v>44835</v>
      </c>
      <c r="C137" s="1">
        <v>44845</v>
      </c>
      <c r="D137" t="s">
        <v>12</v>
      </c>
      <c r="E137">
        <v>184</v>
      </c>
      <c r="F137" s="8">
        <v>11.82</v>
      </c>
      <c r="G137">
        <v>4</v>
      </c>
      <c r="H137">
        <f t="shared" si="15"/>
        <v>10</v>
      </c>
      <c r="I137" s="9">
        <f t="shared" si="16"/>
        <v>2174.88</v>
      </c>
      <c r="J137" s="11">
        <f t="shared" si="17"/>
        <v>2.1739130434782608E-2</v>
      </c>
      <c r="K137" t="str">
        <f t="shared" si="18"/>
        <v>October</v>
      </c>
      <c r="L137" t="str">
        <f t="shared" si="19"/>
        <v>2022</v>
      </c>
    </row>
    <row r="138" spans="1:12" x14ac:dyDescent="0.3">
      <c r="A138" t="s">
        <v>49</v>
      </c>
      <c r="B138" s="1">
        <v>45218</v>
      </c>
      <c r="C138" s="1">
        <v>45237</v>
      </c>
      <c r="D138" t="s">
        <v>13</v>
      </c>
      <c r="E138">
        <v>250</v>
      </c>
      <c r="F138" s="8">
        <v>45.92</v>
      </c>
      <c r="G138">
        <v>3</v>
      </c>
      <c r="H138">
        <f t="shared" si="15"/>
        <v>19</v>
      </c>
      <c r="I138" s="9">
        <f t="shared" si="16"/>
        <v>11480</v>
      </c>
      <c r="J138" s="11">
        <f t="shared" si="17"/>
        <v>1.2E-2</v>
      </c>
      <c r="K138" t="str">
        <f t="shared" si="18"/>
        <v>October</v>
      </c>
      <c r="L138" t="str">
        <f t="shared" si="19"/>
        <v>2023</v>
      </c>
    </row>
    <row r="139" spans="1:12" x14ac:dyDescent="0.3">
      <c r="A139" t="s">
        <v>47</v>
      </c>
      <c r="B139" s="1">
        <v>44676</v>
      </c>
      <c r="C139" s="1">
        <v>44681</v>
      </c>
      <c r="D139" t="s">
        <v>13</v>
      </c>
      <c r="E139">
        <v>829</v>
      </c>
      <c r="F139" s="8">
        <v>45.98</v>
      </c>
      <c r="G139">
        <v>0</v>
      </c>
      <c r="H139">
        <f t="shared" si="15"/>
        <v>5</v>
      </c>
      <c r="I139" s="9">
        <f t="shared" si="16"/>
        <v>38117.42</v>
      </c>
      <c r="J139" s="11">
        <f t="shared" si="17"/>
        <v>0</v>
      </c>
      <c r="K139" t="str">
        <f t="shared" si="18"/>
        <v>April</v>
      </c>
      <c r="L139" t="str">
        <f t="shared" si="19"/>
        <v>2022</v>
      </c>
    </row>
    <row r="140" spans="1:12" x14ac:dyDescent="0.3">
      <c r="A140" t="s">
        <v>48</v>
      </c>
      <c r="B140" s="1">
        <v>44862</v>
      </c>
      <c r="C140" s="1">
        <v>44878</v>
      </c>
      <c r="D140" t="s">
        <v>12</v>
      </c>
      <c r="E140">
        <v>979</v>
      </c>
      <c r="F140" s="8">
        <v>51.59</v>
      </c>
      <c r="G140">
        <v>148</v>
      </c>
      <c r="H140">
        <f t="shared" si="15"/>
        <v>16</v>
      </c>
      <c r="I140" s="9">
        <f t="shared" si="16"/>
        <v>50506.61</v>
      </c>
      <c r="J140" s="11">
        <f t="shared" si="17"/>
        <v>0.15117466802860061</v>
      </c>
      <c r="K140" t="str">
        <f t="shared" si="18"/>
        <v>October</v>
      </c>
      <c r="L140" t="str">
        <f t="shared" si="19"/>
        <v>2022</v>
      </c>
    </row>
    <row r="141" spans="1:12" x14ac:dyDescent="0.3">
      <c r="A141" t="s">
        <v>49</v>
      </c>
      <c r="B141" s="1">
        <v>45007</v>
      </c>
      <c r="C141" s="1">
        <v>45025</v>
      </c>
      <c r="D141" t="s">
        <v>13</v>
      </c>
      <c r="E141">
        <v>1106</v>
      </c>
      <c r="F141" s="8">
        <v>97.77</v>
      </c>
      <c r="G141">
        <v>31</v>
      </c>
      <c r="H141">
        <f t="shared" si="15"/>
        <v>18</v>
      </c>
      <c r="I141" s="9">
        <f t="shared" si="16"/>
        <v>108133.62</v>
      </c>
      <c r="J141" s="11">
        <f t="shared" si="17"/>
        <v>2.8028933092224231E-2</v>
      </c>
      <c r="K141" t="str">
        <f t="shared" si="18"/>
        <v>March</v>
      </c>
      <c r="L141" t="str">
        <f t="shared" si="19"/>
        <v>2023</v>
      </c>
    </row>
    <row r="142" spans="1:12" x14ac:dyDescent="0.3">
      <c r="A142" t="s">
        <v>48</v>
      </c>
      <c r="B142" s="1">
        <v>44723</v>
      </c>
      <c r="C142" s="1">
        <v>44736</v>
      </c>
      <c r="D142" t="s">
        <v>9</v>
      </c>
      <c r="E142">
        <v>1121</v>
      </c>
      <c r="F142" s="8">
        <v>42.38</v>
      </c>
      <c r="G142">
        <v>152</v>
      </c>
      <c r="H142">
        <f t="shared" si="15"/>
        <v>13</v>
      </c>
      <c r="I142" s="9">
        <f t="shared" si="16"/>
        <v>47507.98</v>
      </c>
      <c r="J142" s="11">
        <f t="shared" si="17"/>
        <v>0.13559322033898305</v>
      </c>
      <c r="K142" t="str">
        <f t="shared" si="18"/>
        <v>June</v>
      </c>
      <c r="L142" t="str">
        <f t="shared" si="19"/>
        <v>2022</v>
      </c>
    </row>
    <row r="143" spans="1:12" x14ac:dyDescent="0.3">
      <c r="A143" t="s">
        <v>46</v>
      </c>
      <c r="B143" s="1">
        <v>45026</v>
      </c>
      <c r="C143" s="1">
        <v>45037</v>
      </c>
      <c r="D143" t="s">
        <v>9</v>
      </c>
      <c r="E143">
        <v>552</v>
      </c>
      <c r="F143" s="8">
        <v>60.48</v>
      </c>
      <c r="G143">
        <v>10</v>
      </c>
      <c r="H143">
        <f t="shared" si="15"/>
        <v>11</v>
      </c>
      <c r="I143" s="9">
        <f t="shared" si="16"/>
        <v>33384.959999999999</v>
      </c>
      <c r="J143" s="11">
        <f t="shared" si="17"/>
        <v>1.8115942028985508E-2</v>
      </c>
      <c r="K143" t="str">
        <f t="shared" si="18"/>
        <v>April</v>
      </c>
      <c r="L143" t="str">
        <f t="shared" si="19"/>
        <v>2023</v>
      </c>
    </row>
    <row r="144" spans="1:12" x14ac:dyDescent="0.3">
      <c r="A144" t="s">
        <v>47</v>
      </c>
      <c r="B144" s="1">
        <v>44571</v>
      </c>
      <c r="C144" s="1">
        <v>44581</v>
      </c>
      <c r="D144" t="s">
        <v>10</v>
      </c>
      <c r="E144">
        <v>1306</v>
      </c>
      <c r="F144" s="8">
        <v>23.49</v>
      </c>
      <c r="G144">
        <v>116</v>
      </c>
      <c r="H144">
        <f t="shared" si="15"/>
        <v>10</v>
      </c>
      <c r="I144" s="9">
        <f t="shared" si="16"/>
        <v>30677.94</v>
      </c>
      <c r="J144" s="11">
        <f t="shared" si="17"/>
        <v>8.8820826952526799E-2</v>
      </c>
      <c r="K144" t="str">
        <f t="shared" si="18"/>
        <v>January</v>
      </c>
      <c r="L144" t="str">
        <f t="shared" si="19"/>
        <v>2022</v>
      </c>
    </row>
    <row r="145" spans="1:12" x14ac:dyDescent="0.3">
      <c r="A145" t="s">
        <v>48</v>
      </c>
      <c r="B145" s="1">
        <v>44831</v>
      </c>
      <c r="C145" s="1">
        <v>44839</v>
      </c>
      <c r="D145" t="s">
        <v>11</v>
      </c>
      <c r="E145">
        <v>1647</v>
      </c>
      <c r="F145" s="8">
        <v>47.52</v>
      </c>
      <c r="G145">
        <v>0</v>
      </c>
      <c r="H145">
        <f t="shared" si="15"/>
        <v>8</v>
      </c>
      <c r="I145" s="9">
        <f t="shared" si="16"/>
        <v>78265.440000000002</v>
      </c>
      <c r="J145" s="11">
        <f t="shared" si="17"/>
        <v>0</v>
      </c>
      <c r="K145" t="str">
        <f t="shared" si="18"/>
        <v>September</v>
      </c>
      <c r="L145" t="str">
        <f t="shared" si="19"/>
        <v>2022</v>
      </c>
    </row>
    <row r="146" spans="1:12" x14ac:dyDescent="0.3">
      <c r="A146" t="s">
        <v>49</v>
      </c>
      <c r="B146" s="1">
        <v>45074</v>
      </c>
      <c r="C146" s="1">
        <v>45088</v>
      </c>
      <c r="D146" t="s">
        <v>13</v>
      </c>
      <c r="E146">
        <v>1801</v>
      </c>
      <c r="F146" s="8">
        <v>71.27</v>
      </c>
      <c r="G146">
        <v>43</v>
      </c>
      <c r="H146">
        <f t="shared" si="15"/>
        <v>14</v>
      </c>
      <c r="I146" s="9">
        <f t="shared" si="16"/>
        <v>128357.26999999999</v>
      </c>
      <c r="J146" s="11">
        <f t="shared" si="17"/>
        <v>2.3875624652970572E-2</v>
      </c>
      <c r="K146" t="str">
        <f t="shared" si="18"/>
        <v>May</v>
      </c>
      <c r="L146" t="str">
        <f t="shared" si="19"/>
        <v>2023</v>
      </c>
    </row>
    <row r="147" spans="1:12" x14ac:dyDescent="0.3">
      <c r="A147" t="s">
        <v>50</v>
      </c>
      <c r="B147" s="1">
        <v>44744</v>
      </c>
      <c r="C147" s="1">
        <v>44760</v>
      </c>
      <c r="D147" t="s">
        <v>13</v>
      </c>
      <c r="E147">
        <v>854</v>
      </c>
      <c r="F147" s="8">
        <v>90.24</v>
      </c>
      <c r="G147">
        <v>0</v>
      </c>
      <c r="H147">
        <f t="shared" si="15"/>
        <v>16</v>
      </c>
      <c r="I147" s="9">
        <f t="shared" si="16"/>
        <v>77064.959999999992</v>
      </c>
      <c r="J147" s="11">
        <f t="shared" si="17"/>
        <v>0</v>
      </c>
      <c r="K147" t="str">
        <f t="shared" si="18"/>
        <v>July</v>
      </c>
      <c r="L147" t="str">
        <f t="shared" si="19"/>
        <v>2022</v>
      </c>
    </row>
    <row r="148" spans="1:12" x14ac:dyDescent="0.3">
      <c r="A148" t="s">
        <v>48</v>
      </c>
      <c r="B148" s="1">
        <v>45081</v>
      </c>
      <c r="C148" s="1">
        <v>45094</v>
      </c>
      <c r="D148" t="s">
        <v>13</v>
      </c>
      <c r="E148">
        <v>148</v>
      </c>
      <c r="F148" s="8">
        <v>103.57</v>
      </c>
      <c r="G148">
        <v>23</v>
      </c>
      <c r="H148">
        <f t="shared" si="15"/>
        <v>13</v>
      </c>
      <c r="I148" s="9">
        <f t="shared" si="16"/>
        <v>15328.359999999999</v>
      </c>
      <c r="J148" s="11">
        <f t="shared" si="17"/>
        <v>0.1554054054054054</v>
      </c>
      <c r="K148" t="str">
        <f t="shared" si="18"/>
        <v>June</v>
      </c>
      <c r="L148" t="str">
        <f t="shared" si="19"/>
        <v>2023</v>
      </c>
    </row>
    <row r="149" spans="1:12" x14ac:dyDescent="0.3">
      <c r="A149" t="s">
        <v>48</v>
      </c>
      <c r="B149" s="1">
        <v>44670</v>
      </c>
      <c r="C149" s="1">
        <v>44675</v>
      </c>
      <c r="D149" t="s">
        <v>10</v>
      </c>
      <c r="E149">
        <v>733</v>
      </c>
      <c r="F149" s="8">
        <v>23.59</v>
      </c>
      <c r="G149">
        <v>92</v>
      </c>
      <c r="H149">
        <f t="shared" si="15"/>
        <v>5</v>
      </c>
      <c r="I149" s="9">
        <f t="shared" si="16"/>
        <v>17291.47</v>
      </c>
      <c r="J149" s="11">
        <f t="shared" si="17"/>
        <v>0.12551159618008187</v>
      </c>
      <c r="K149" t="str">
        <f t="shared" si="18"/>
        <v>April</v>
      </c>
      <c r="L149" t="str">
        <f t="shared" si="19"/>
        <v>2022</v>
      </c>
    </row>
    <row r="150" spans="1:12" x14ac:dyDescent="0.3">
      <c r="A150" t="s">
        <v>47</v>
      </c>
      <c r="B150" s="1">
        <v>45202</v>
      </c>
      <c r="C150" s="1">
        <v>45204</v>
      </c>
      <c r="D150" t="s">
        <v>12</v>
      </c>
      <c r="E150">
        <v>1945</v>
      </c>
      <c r="F150" s="8">
        <v>103.2</v>
      </c>
      <c r="G150">
        <v>0</v>
      </c>
      <c r="H150">
        <f t="shared" si="15"/>
        <v>2</v>
      </c>
      <c r="I150" s="9">
        <f t="shared" si="16"/>
        <v>200724</v>
      </c>
      <c r="J150" s="11">
        <f t="shared" si="17"/>
        <v>0</v>
      </c>
      <c r="K150" t="str">
        <f t="shared" si="18"/>
        <v>October</v>
      </c>
      <c r="L150" t="str">
        <f t="shared" si="19"/>
        <v>2023</v>
      </c>
    </row>
    <row r="151" spans="1:12" x14ac:dyDescent="0.3">
      <c r="A151" t="s">
        <v>50</v>
      </c>
      <c r="B151" s="1">
        <v>44867</v>
      </c>
      <c r="C151" s="1">
        <v>44886</v>
      </c>
      <c r="D151" t="s">
        <v>12</v>
      </c>
      <c r="E151">
        <v>775</v>
      </c>
      <c r="F151" s="8">
        <v>57</v>
      </c>
      <c r="G151">
        <v>48</v>
      </c>
      <c r="H151">
        <f t="shared" si="15"/>
        <v>19</v>
      </c>
      <c r="I151" s="9">
        <f t="shared" si="16"/>
        <v>44175</v>
      </c>
      <c r="J151" s="11">
        <f t="shared" si="17"/>
        <v>6.1935483870967742E-2</v>
      </c>
      <c r="K151" t="str">
        <f t="shared" si="18"/>
        <v>November</v>
      </c>
      <c r="L151" t="str">
        <f t="shared" si="19"/>
        <v>2022</v>
      </c>
    </row>
    <row r="152" spans="1:12" x14ac:dyDescent="0.3">
      <c r="A152" t="s">
        <v>48</v>
      </c>
      <c r="B152" s="1">
        <v>45216</v>
      </c>
      <c r="C152" s="1">
        <v>45220</v>
      </c>
      <c r="D152" t="s">
        <v>11</v>
      </c>
      <c r="E152">
        <v>1620</v>
      </c>
      <c r="F152" s="8">
        <v>36.729999999999997</v>
      </c>
      <c r="G152">
        <v>235</v>
      </c>
      <c r="H152">
        <f t="shared" si="15"/>
        <v>4</v>
      </c>
      <c r="I152" s="9">
        <f t="shared" si="16"/>
        <v>59502.6</v>
      </c>
      <c r="J152" s="11">
        <f t="shared" si="17"/>
        <v>0.14506172839506173</v>
      </c>
      <c r="K152" t="str">
        <f t="shared" si="18"/>
        <v>October</v>
      </c>
      <c r="L152" t="str">
        <f t="shared" si="19"/>
        <v>2023</v>
      </c>
    </row>
    <row r="153" spans="1:12" x14ac:dyDescent="0.3">
      <c r="A153" t="s">
        <v>47</v>
      </c>
      <c r="B153" s="1">
        <v>45081</v>
      </c>
      <c r="C153" s="1">
        <v>45096</v>
      </c>
      <c r="D153" t="s">
        <v>9</v>
      </c>
      <c r="E153">
        <v>1010</v>
      </c>
      <c r="F153" s="8">
        <v>55.68</v>
      </c>
      <c r="G153">
        <v>0</v>
      </c>
      <c r="H153">
        <f t="shared" si="15"/>
        <v>15</v>
      </c>
      <c r="I153" s="9">
        <f t="shared" si="16"/>
        <v>56236.800000000003</v>
      </c>
      <c r="J153" s="11">
        <f t="shared" si="17"/>
        <v>0</v>
      </c>
      <c r="K153" t="str">
        <f t="shared" si="18"/>
        <v>June</v>
      </c>
      <c r="L153" t="str">
        <f t="shared" si="19"/>
        <v>2023</v>
      </c>
    </row>
    <row r="154" spans="1:12" x14ac:dyDescent="0.3">
      <c r="A154" t="s">
        <v>49</v>
      </c>
      <c r="B154" s="1">
        <v>45185</v>
      </c>
      <c r="C154" s="1">
        <v>45200</v>
      </c>
      <c r="D154" t="s">
        <v>9</v>
      </c>
      <c r="E154">
        <v>1812</v>
      </c>
      <c r="F154" s="8">
        <v>108.02</v>
      </c>
      <c r="G154">
        <v>51</v>
      </c>
      <c r="H154">
        <f t="shared" si="15"/>
        <v>15</v>
      </c>
      <c r="I154" s="9">
        <f t="shared" si="16"/>
        <v>195732.24</v>
      </c>
      <c r="J154" s="11">
        <f t="shared" si="17"/>
        <v>2.8145695364238412E-2</v>
      </c>
      <c r="K154" t="str">
        <f t="shared" si="18"/>
        <v>September</v>
      </c>
      <c r="L154" t="str">
        <f t="shared" si="19"/>
        <v>2023</v>
      </c>
    </row>
    <row r="155" spans="1:12" x14ac:dyDescent="0.3">
      <c r="A155" t="s">
        <v>48</v>
      </c>
      <c r="B155" s="1">
        <v>44765</v>
      </c>
      <c r="C155" s="1">
        <v>44770</v>
      </c>
      <c r="D155" t="s">
        <v>9</v>
      </c>
      <c r="E155">
        <v>662</v>
      </c>
      <c r="F155" s="8">
        <v>55.97</v>
      </c>
      <c r="G155">
        <v>100</v>
      </c>
      <c r="H155">
        <f t="shared" si="15"/>
        <v>5</v>
      </c>
      <c r="I155" s="9">
        <f t="shared" si="16"/>
        <v>37052.14</v>
      </c>
      <c r="J155" s="11">
        <f t="shared" si="17"/>
        <v>0.15105740181268881</v>
      </c>
      <c r="K155" t="str">
        <f t="shared" si="18"/>
        <v>July</v>
      </c>
      <c r="L155" t="str">
        <f t="shared" si="19"/>
        <v>2022</v>
      </c>
    </row>
    <row r="156" spans="1:12" x14ac:dyDescent="0.3">
      <c r="A156" t="s">
        <v>47</v>
      </c>
      <c r="B156" s="1">
        <v>44718</v>
      </c>
      <c r="C156" s="1">
        <v>44723</v>
      </c>
      <c r="D156" t="s">
        <v>9</v>
      </c>
      <c r="E156">
        <v>1535</v>
      </c>
      <c r="F156" s="8">
        <v>40.58</v>
      </c>
      <c r="G156">
        <v>165</v>
      </c>
      <c r="H156">
        <f t="shared" si="15"/>
        <v>5</v>
      </c>
      <c r="I156" s="9">
        <f t="shared" si="16"/>
        <v>62290.299999999996</v>
      </c>
      <c r="J156" s="11">
        <f t="shared" si="17"/>
        <v>0.10749185667752444</v>
      </c>
      <c r="K156" t="str">
        <f t="shared" si="18"/>
        <v>June</v>
      </c>
      <c r="L156" t="str">
        <f t="shared" si="19"/>
        <v>2022</v>
      </c>
    </row>
    <row r="157" spans="1:12" x14ac:dyDescent="0.3">
      <c r="A157" t="s">
        <v>47</v>
      </c>
      <c r="B157" s="1">
        <v>44953</v>
      </c>
      <c r="C157" s="1">
        <v>44969</v>
      </c>
      <c r="D157" t="s">
        <v>11</v>
      </c>
      <c r="E157">
        <v>1042</v>
      </c>
      <c r="F157" s="8">
        <v>12.48</v>
      </c>
      <c r="G157">
        <v>88</v>
      </c>
      <c r="H157">
        <f t="shared" si="15"/>
        <v>16</v>
      </c>
      <c r="I157" s="9">
        <f t="shared" si="16"/>
        <v>13004.16</v>
      </c>
      <c r="J157" s="11">
        <f t="shared" si="17"/>
        <v>8.4452975047984644E-2</v>
      </c>
      <c r="K157" t="str">
        <f t="shared" si="18"/>
        <v>January</v>
      </c>
      <c r="L157" t="str">
        <f t="shared" si="19"/>
        <v>2023</v>
      </c>
    </row>
    <row r="158" spans="1:12" x14ac:dyDescent="0.3">
      <c r="A158" t="s">
        <v>50</v>
      </c>
      <c r="B158" s="1">
        <v>44727</v>
      </c>
      <c r="C158" s="1">
        <v>44740</v>
      </c>
      <c r="D158" t="s">
        <v>10</v>
      </c>
      <c r="E158">
        <v>1842</v>
      </c>
      <c r="F158" s="8">
        <v>32.4</v>
      </c>
      <c r="G158">
        <v>96</v>
      </c>
      <c r="H158">
        <f t="shared" si="15"/>
        <v>13</v>
      </c>
      <c r="I158" s="9">
        <f t="shared" si="16"/>
        <v>59680.799999999996</v>
      </c>
      <c r="J158" s="11">
        <f t="shared" si="17"/>
        <v>5.2117263843648211E-2</v>
      </c>
      <c r="K158" t="str">
        <f t="shared" si="18"/>
        <v>June</v>
      </c>
      <c r="L158" t="str">
        <f t="shared" si="19"/>
        <v>2022</v>
      </c>
    </row>
    <row r="159" spans="1:12" x14ac:dyDescent="0.3">
      <c r="A159" t="s">
        <v>47</v>
      </c>
      <c r="B159" s="1">
        <v>45114</v>
      </c>
      <c r="C159" s="1">
        <v>45125</v>
      </c>
      <c r="D159" t="s">
        <v>9</v>
      </c>
      <c r="E159">
        <v>1078</v>
      </c>
      <c r="F159" s="8">
        <v>18.34</v>
      </c>
      <c r="G159">
        <v>102</v>
      </c>
      <c r="H159">
        <f t="shared" si="15"/>
        <v>11</v>
      </c>
      <c r="I159" s="9">
        <f t="shared" si="16"/>
        <v>19770.52</v>
      </c>
      <c r="J159" s="11">
        <f t="shared" si="17"/>
        <v>9.4619666048237475E-2</v>
      </c>
      <c r="K159" t="str">
        <f t="shared" si="18"/>
        <v>July</v>
      </c>
      <c r="L159" t="str">
        <f t="shared" si="19"/>
        <v>2023</v>
      </c>
    </row>
    <row r="160" spans="1:12" x14ac:dyDescent="0.3">
      <c r="A160" t="s">
        <v>48</v>
      </c>
      <c r="B160" s="1">
        <v>45105</v>
      </c>
      <c r="C160" s="1">
        <v>45123</v>
      </c>
      <c r="D160" t="s">
        <v>11</v>
      </c>
      <c r="E160">
        <v>1291</v>
      </c>
      <c r="F160" s="8">
        <v>23.44</v>
      </c>
      <c r="G160">
        <v>0</v>
      </c>
      <c r="H160">
        <f t="shared" si="15"/>
        <v>18</v>
      </c>
      <c r="I160" s="9">
        <f t="shared" si="16"/>
        <v>30261.040000000001</v>
      </c>
      <c r="J160" s="11">
        <f t="shared" si="17"/>
        <v>0</v>
      </c>
      <c r="K160" t="str">
        <f t="shared" si="18"/>
        <v>June</v>
      </c>
      <c r="L160" t="str">
        <f t="shared" si="19"/>
        <v>2023</v>
      </c>
    </row>
    <row r="161" spans="1:12" x14ac:dyDescent="0.3">
      <c r="A161" t="s">
        <v>47</v>
      </c>
      <c r="B161" s="1">
        <v>44591</v>
      </c>
      <c r="C161" s="1">
        <v>44606</v>
      </c>
      <c r="D161" t="s">
        <v>12</v>
      </c>
      <c r="E161">
        <v>1116</v>
      </c>
      <c r="F161" s="8">
        <v>25.65</v>
      </c>
      <c r="G161">
        <v>121</v>
      </c>
      <c r="H161">
        <f t="shared" si="15"/>
        <v>15</v>
      </c>
      <c r="I161" s="9">
        <f t="shared" si="16"/>
        <v>28625.399999999998</v>
      </c>
      <c r="J161" s="11">
        <f t="shared" si="17"/>
        <v>0.10842293906810035</v>
      </c>
      <c r="K161" t="str">
        <f t="shared" si="18"/>
        <v>January</v>
      </c>
      <c r="L161" t="str">
        <f t="shared" si="19"/>
        <v>2022</v>
      </c>
    </row>
    <row r="162" spans="1:12" x14ac:dyDescent="0.3">
      <c r="A162" t="s">
        <v>49</v>
      </c>
      <c r="B162" s="1">
        <v>45175</v>
      </c>
      <c r="C162" s="1">
        <v>45191</v>
      </c>
      <c r="D162" t="s">
        <v>13</v>
      </c>
      <c r="E162">
        <v>816</v>
      </c>
      <c r="F162" s="8">
        <v>26.04</v>
      </c>
      <c r="G162">
        <v>28</v>
      </c>
      <c r="H162">
        <f t="shared" si="15"/>
        <v>16</v>
      </c>
      <c r="I162" s="9">
        <f t="shared" si="16"/>
        <v>21248.639999999999</v>
      </c>
      <c r="J162" s="11">
        <f t="shared" si="17"/>
        <v>3.4313725490196081E-2</v>
      </c>
      <c r="K162" t="str">
        <f t="shared" si="18"/>
        <v>September</v>
      </c>
      <c r="L162" t="str">
        <f t="shared" si="19"/>
        <v>2023</v>
      </c>
    </row>
    <row r="163" spans="1:12" x14ac:dyDescent="0.3">
      <c r="A163" t="s">
        <v>48</v>
      </c>
      <c r="B163" s="1">
        <v>44893</v>
      </c>
      <c r="C163" s="1">
        <v>44895</v>
      </c>
      <c r="D163" t="s">
        <v>11</v>
      </c>
      <c r="E163">
        <v>447</v>
      </c>
      <c r="F163" s="8">
        <v>23.62</v>
      </c>
      <c r="G163">
        <v>50</v>
      </c>
      <c r="H163">
        <f t="shared" si="15"/>
        <v>2</v>
      </c>
      <c r="I163" s="9">
        <f t="shared" si="16"/>
        <v>10558.140000000001</v>
      </c>
      <c r="J163" s="11">
        <f t="shared" si="17"/>
        <v>0.11185682326621924</v>
      </c>
      <c r="K163" t="str">
        <f t="shared" si="18"/>
        <v>November</v>
      </c>
      <c r="L163" t="str">
        <f t="shared" si="19"/>
        <v>2022</v>
      </c>
    </row>
    <row r="164" spans="1:12" x14ac:dyDescent="0.3">
      <c r="A164" t="s">
        <v>48</v>
      </c>
      <c r="B164" s="1">
        <v>45062</v>
      </c>
      <c r="C164" s="1">
        <v>45070</v>
      </c>
      <c r="D164" t="s">
        <v>11</v>
      </c>
      <c r="E164">
        <v>920</v>
      </c>
      <c r="F164" s="8">
        <v>73.09</v>
      </c>
      <c r="G164">
        <v>0</v>
      </c>
      <c r="H164">
        <f t="shared" si="15"/>
        <v>8</v>
      </c>
      <c r="I164" s="9">
        <f t="shared" si="16"/>
        <v>67242.8</v>
      </c>
      <c r="J164" s="11">
        <f t="shared" si="17"/>
        <v>0</v>
      </c>
      <c r="K164" t="str">
        <f t="shared" si="18"/>
        <v>May</v>
      </c>
      <c r="L164" t="str">
        <f t="shared" si="19"/>
        <v>2023</v>
      </c>
    </row>
    <row r="165" spans="1:12" x14ac:dyDescent="0.3">
      <c r="A165" t="s">
        <v>47</v>
      </c>
      <c r="B165" s="1">
        <v>44581</v>
      </c>
      <c r="C165" s="1">
        <v>44595</v>
      </c>
      <c r="D165" t="s">
        <v>11</v>
      </c>
      <c r="E165">
        <v>810</v>
      </c>
      <c r="F165" s="8">
        <v>71.02</v>
      </c>
      <c r="G165">
        <v>73</v>
      </c>
      <c r="H165">
        <f t="shared" si="15"/>
        <v>14</v>
      </c>
      <c r="I165" s="9">
        <f t="shared" si="16"/>
        <v>57526.2</v>
      </c>
      <c r="J165" s="11">
        <f t="shared" si="17"/>
        <v>9.0123456790123457E-2</v>
      </c>
      <c r="K165" t="str">
        <f t="shared" si="18"/>
        <v>January</v>
      </c>
      <c r="L165" t="str">
        <f t="shared" si="19"/>
        <v>2022</v>
      </c>
    </row>
    <row r="166" spans="1:12" x14ac:dyDescent="0.3">
      <c r="A166" t="s">
        <v>47</v>
      </c>
      <c r="B166" s="1">
        <v>44946</v>
      </c>
      <c r="C166" s="1">
        <v>44959</v>
      </c>
      <c r="D166" t="s">
        <v>13</v>
      </c>
      <c r="E166">
        <v>226</v>
      </c>
      <c r="F166" s="8">
        <v>102.47</v>
      </c>
      <c r="G166">
        <v>28</v>
      </c>
      <c r="H166">
        <f t="shared" si="15"/>
        <v>13</v>
      </c>
      <c r="I166" s="9">
        <f t="shared" si="16"/>
        <v>23158.22</v>
      </c>
      <c r="J166" s="11">
        <f t="shared" si="17"/>
        <v>0.12389380530973451</v>
      </c>
      <c r="K166" t="str">
        <f t="shared" si="18"/>
        <v>January</v>
      </c>
      <c r="L166" t="str">
        <f t="shared" si="19"/>
        <v>2023</v>
      </c>
    </row>
    <row r="167" spans="1:12" x14ac:dyDescent="0.3">
      <c r="A167" t="s">
        <v>47</v>
      </c>
      <c r="B167" s="1">
        <v>44807</v>
      </c>
      <c r="C167" s="1">
        <v>44811</v>
      </c>
      <c r="D167" t="s">
        <v>9</v>
      </c>
      <c r="E167">
        <v>1931</v>
      </c>
      <c r="F167" s="8">
        <v>72.88</v>
      </c>
      <c r="G167">
        <v>187</v>
      </c>
      <c r="H167">
        <f t="shared" si="15"/>
        <v>4</v>
      </c>
      <c r="I167" s="9">
        <f t="shared" si="16"/>
        <v>140731.28</v>
      </c>
      <c r="J167" s="11">
        <f t="shared" si="17"/>
        <v>9.6841015018125323E-2</v>
      </c>
      <c r="K167" t="str">
        <f t="shared" si="18"/>
        <v>September</v>
      </c>
      <c r="L167" t="str">
        <f t="shared" si="19"/>
        <v>2022</v>
      </c>
    </row>
    <row r="168" spans="1:12" x14ac:dyDescent="0.3">
      <c r="A168" t="s">
        <v>50</v>
      </c>
      <c r="B168" s="1">
        <v>44621</v>
      </c>
      <c r="C168" s="1">
        <v>44631</v>
      </c>
      <c r="D168" t="s">
        <v>13</v>
      </c>
      <c r="E168">
        <v>1627</v>
      </c>
      <c r="F168" s="8">
        <v>25.76</v>
      </c>
      <c r="G168">
        <v>74</v>
      </c>
      <c r="H168">
        <f t="shared" si="15"/>
        <v>10</v>
      </c>
      <c r="I168" s="9">
        <f t="shared" si="16"/>
        <v>41911.520000000004</v>
      </c>
      <c r="J168" s="11">
        <f t="shared" si="17"/>
        <v>4.5482483097725873E-2</v>
      </c>
      <c r="K168" t="str">
        <f t="shared" si="18"/>
        <v>March</v>
      </c>
      <c r="L168" t="str">
        <f t="shared" si="19"/>
        <v>2022</v>
      </c>
    </row>
    <row r="169" spans="1:12" x14ac:dyDescent="0.3">
      <c r="A169" t="s">
        <v>50</v>
      </c>
      <c r="B169" s="1">
        <v>45142</v>
      </c>
      <c r="C169" s="1">
        <v>45144</v>
      </c>
      <c r="D169" t="s">
        <v>10</v>
      </c>
      <c r="E169">
        <v>1534</v>
      </c>
      <c r="F169" s="8">
        <v>14.98</v>
      </c>
      <c r="G169">
        <v>0</v>
      </c>
      <c r="H169">
        <f t="shared" si="15"/>
        <v>2</v>
      </c>
      <c r="I169" s="9">
        <f t="shared" si="16"/>
        <v>22979.32</v>
      </c>
      <c r="J169" s="11">
        <f t="shared" si="17"/>
        <v>0</v>
      </c>
      <c r="K169" t="str">
        <f t="shared" si="18"/>
        <v>August</v>
      </c>
      <c r="L169" t="str">
        <f t="shared" si="19"/>
        <v>2023</v>
      </c>
    </row>
    <row r="170" spans="1:12" x14ac:dyDescent="0.3">
      <c r="A170" t="s">
        <v>46</v>
      </c>
      <c r="B170" s="1">
        <v>44642</v>
      </c>
      <c r="C170" s="1">
        <v>44654</v>
      </c>
      <c r="D170" t="s">
        <v>12</v>
      </c>
      <c r="E170">
        <v>1764</v>
      </c>
      <c r="F170" s="8">
        <v>25.46</v>
      </c>
      <c r="G170">
        <v>46</v>
      </c>
      <c r="H170">
        <f t="shared" si="15"/>
        <v>12</v>
      </c>
      <c r="I170" s="9">
        <f t="shared" si="16"/>
        <v>44911.44</v>
      </c>
      <c r="J170" s="11">
        <f t="shared" si="17"/>
        <v>2.6077097505668934E-2</v>
      </c>
      <c r="K170" t="str">
        <f t="shared" si="18"/>
        <v>March</v>
      </c>
      <c r="L170" t="str">
        <f t="shared" si="19"/>
        <v>2022</v>
      </c>
    </row>
    <row r="171" spans="1:12" x14ac:dyDescent="0.3">
      <c r="A171" t="s">
        <v>48</v>
      </c>
      <c r="B171" s="1">
        <v>44649</v>
      </c>
      <c r="C171" s="1">
        <v>44657</v>
      </c>
      <c r="D171" t="s">
        <v>13</v>
      </c>
      <c r="E171">
        <v>1648</v>
      </c>
      <c r="F171" s="8">
        <v>35.42</v>
      </c>
      <c r="G171">
        <v>0</v>
      </c>
      <c r="H171">
        <f t="shared" si="15"/>
        <v>8</v>
      </c>
      <c r="I171" s="9">
        <f t="shared" si="16"/>
        <v>58372.160000000003</v>
      </c>
      <c r="J171" s="11">
        <f t="shared" si="17"/>
        <v>0</v>
      </c>
      <c r="K171" t="str">
        <f t="shared" si="18"/>
        <v>March</v>
      </c>
      <c r="L171" t="str">
        <f t="shared" si="19"/>
        <v>2022</v>
      </c>
    </row>
    <row r="172" spans="1:12" x14ac:dyDescent="0.3">
      <c r="A172" t="s">
        <v>50</v>
      </c>
      <c r="B172" s="1">
        <v>45059</v>
      </c>
      <c r="C172" s="1">
        <v>45078</v>
      </c>
      <c r="D172" t="s">
        <v>11</v>
      </c>
      <c r="E172">
        <v>913</v>
      </c>
      <c r="F172" s="8">
        <v>28.01</v>
      </c>
      <c r="G172">
        <v>53</v>
      </c>
      <c r="H172">
        <f t="shared" si="15"/>
        <v>19</v>
      </c>
      <c r="I172" s="9">
        <f t="shared" si="16"/>
        <v>25573.13</v>
      </c>
      <c r="J172" s="11">
        <f t="shared" si="17"/>
        <v>5.8050383351588172E-2</v>
      </c>
      <c r="K172" t="str">
        <f t="shared" si="18"/>
        <v>May</v>
      </c>
      <c r="L172" t="str">
        <f t="shared" si="19"/>
        <v>2023</v>
      </c>
    </row>
    <row r="173" spans="1:12" x14ac:dyDescent="0.3">
      <c r="A173" t="s">
        <v>46</v>
      </c>
      <c r="B173" s="1">
        <v>44632</v>
      </c>
      <c r="C173" s="1">
        <v>44638</v>
      </c>
      <c r="D173" t="s">
        <v>11</v>
      </c>
      <c r="E173">
        <v>792</v>
      </c>
      <c r="F173" s="8">
        <v>18.16</v>
      </c>
      <c r="G173">
        <v>17</v>
      </c>
      <c r="H173">
        <f t="shared" si="15"/>
        <v>6</v>
      </c>
      <c r="I173" s="9">
        <f t="shared" si="16"/>
        <v>14382.72</v>
      </c>
      <c r="J173" s="11">
        <f t="shared" si="17"/>
        <v>2.1464646464646464E-2</v>
      </c>
      <c r="K173" t="str">
        <f t="shared" si="18"/>
        <v>March</v>
      </c>
      <c r="L173" t="str">
        <f t="shared" si="19"/>
        <v>2022</v>
      </c>
    </row>
    <row r="174" spans="1:12" x14ac:dyDescent="0.3">
      <c r="A174" t="s">
        <v>49</v>
      </c>
      <c r="B174" s="1">
        <v>45107</v>
      </c>
      <c r="C174" s="1">
        <v>45110</v>
      </c>
      <c r="D174" t="s">
        <v>9</v>
      </c>
      <c r="E174">
        <v>1314</v>
      </c>
      <c r="F174" s="8">
        <v>22.63</v>
      </c>
      <c r="G174">
        <v>44</v>
      </c>
      <c r="H174">
        <f t="shared" si="15"/>
        <v>3</v>
      </c>
      <c r="I174" s="9">
        <f t="shared" si="16"/>
        <v>29735.82</v>
      </c>
      <c r="J174" s="11">
        <f t="shared" si="17"/>
        <v>3.3485540334855401E-2</v>
      </c>
      <c r="K174" t="str">
        <f t="shared" si="18"/>
        <v>June</v>
      </c>
      <c r="L174" t="str">
        <f t="shared" si="19"/>
        <v>2023</v>
      </c>
    </row>
    <row r="175" spans="1:12" x14ac:dyDescent="0.3">
      <c r="A175" t="s">
        <v>47</v>
      </c>
      <c r="B175" s="1">
        <v>44690</v>
      </c>
      <c r="C175" s="1">
        <v>44703</v>
      </c>
      <c r="D175" t="s">
        <v>10</v>
      </c>
      <c r="E175">
        <v>613</v>
      </c>
      <c r="F175" s="8">
        <v>52.5</v>
      </c>
      <c r="G175">
        <v>70</v>
      </c>
      <c r="H175">
        <f t="shared" si="15"/>
        <v>13</v>
      </c>
      <c r="I175" s="9">
        <f t="shared" si="16"/>
        <v>32182.5</v>
      </c>
      <c r="J175" s="11">
        <f t="shared" si="17"/>
        <v>0.11419249592169657</v>
      </c>
      <c r="K175" t="str">
        <f t="shared" si="18"/>
        <v>May</v>
      </c>
      <c r="L175" t="str">
        <f t="shared" si="19"/>
        <v>2022</v>
      </c>
    </row>
    <row r="176" spans="1:12" x14ac:dyDescent="0.3">
      <c r="A176" t="s">
        <v>46</v>
      </c>
      <c r="B176" s="1">
        <v>44693</v>
      </c>
      <c r="C176" s="1">
        <v>44701</v>
      </c>
      <c r="D176" t="s">
        <v>9</v>
      </c>
      <c r="E176">
        <v>1070</v>
      </c>
      <c r="F176" s="8">
        <v>29.14</v>
      </c>
      <c r="G176">
        <v>24</v>
      </c>
      <c r="H176">
        <f t="shared" si="15"/>
        <v>8</v>
      </c>
      <c r="I176" s="9">
        <f t="shared" si="16"/>
        <v>31179.8</v>
      </c>
      <c r="J176" s="11">
        <f t="shared" si="17"/>
        <v>2.2429906542056073E-2</v>
      </c>
      <c r="K176" t="str">
        <f t="shared" si="18"/>
        <v>May</v>
      </c>
      <c r="L176" t="str">
        <f t="shared" si="19"/>
        <v>2022</v>
      </c>
    </row>
    <row r="177" spans="1:12" x14ac:dyDescent="0.3">
      <c r="A177" t="s">
        <v>50</v>
      </c>
      <c r="B177" s="1">
        <v>45237</v>
      </c>
      <c r="C177" s="1">
        <v>45256</v>
      </c>
      <c r="D177" t="s">
        <v>12</v>
      </c>
      <c r="E177">
        <v>145</v>
      </c>
      <c r="F177" s="8">
        <v>47.49</v>
      </c>
      <c r="G177">
        <v>6</v>
      </c>
      <c r="H177">
        <f t="shared" si="15"/>
        <v>19</v>
      </c>
      <c r="I177" s="9">
        <f t="shared" si="16"/>
        <v>6886.05</v>
      </c>
      <c r="J177" s="11">
        <f t="shared" si="17"/>
        <v>4.1379310344827586E-2</v>
      </c>
      <c r="K177" t="str">
        <f t="shared" si="18"/>
        <v>November</v>
      </c>
      <c r="L177" t="str">
        <f t="shared" si="19"/>
        <v>2023</v>
      </c>
    </row>
    <row r="178" spans="1:12" x14ac:dyDescent="0.3">
      <c r="A178" t="s">
        <v>48</v>
      </c>
      <c r="B178" s="1">
        <v>45048</v>
      </c>
      <c r="C178" s="1">
        <v>45063</v>
      </c>
      <c r="D178" t="s">
        <v>12</v>
      </c>
      <c r="E178">
        <v>1973</v>
      </c>
      <c r="F178" s="8">
        <v>59.73</v>
      </c>
      <c r="G178">
        <v>291</v>
      </c>
      <c r="H178">
        <f t="shared" si="15"/>
        <v>15</v>
      </c>
      <c r="I178" s="9">
        <f t="shared" si="16"/>
        <v>117847.29</v>
      </c>
      <c r="J178" s="11">
        <f t="shared" si="17"/>
        <v>0.14749113025848962</v>
      </c>
      <c r="K178" t="str">
        <f t="shared" si="18"/>
        <v>May</v>
      </c>
      <c r="L178" t="str">
        <f t="shared" si="19"/>
        <v>2023</v>
      </c>
    </row>
    <row r="179" spans="1:12" x14ac:dyDescent="0.3">
      <c r="A179" t="s">
        <v>49</v>
      </c>
      <c r="B179" s="1">
        <v>45124</v>
      </c>
      <c r="C179" s="1">
        <v>45139</v>
      </c>
      <c r="D179" t="s">
        <v>9</v>
      </c>
      <c r="E179">
        <v>1807</v>
      </c>
      <c r="F179" s="8">
        <v>78.63</v>
      </c>
      <c r="G179">
        <v>100</v>
      </c>
      <c r="H179">
        <f t="shared" si="15"/>
        <v>15</v>
      </c>
      <c r="I179" s="9">
        <f t="shared" si="16"/>
        <v>142084.41</v>
      </c>
      <c r="J179" s="11">
        <f t="shared" si="17"/>
        <v>5.5340343110127282E-2</v>
      </c>
      <c r="K179" t="str">
        <f t="shared" si="18"/>
        <v>July</v>
      </c>
      <c r="L179" t="str">
        <f t="shared" si="19"/>
        <v>2023</v>
      </c>
    </row>
    <row r="180" spans="1:12" x14ac:dyDescent="0.3">
      <c r="A180" t="s">
        <v>49</v>
      </c>
      <c r="B180" s="1">
        <v>44731</v>
      </c>
      <c r="C180" s="1">
        <v>44732</v>
      </c>
      <c r="D180" t="s">
        <v>13</v>
      </c>
      <c r="E180">
        <v>534</v>
      </c>
      <c r="F180" s="8">
        <v>13.88</v>
      </c>
      <c r="G180">
        <v>100</v>
      </c>
      <c r="H180">
        <f t="shared" si="15"/>
        <v>1</v>
      </c>
      <c r="I180" s="9">
        <f t="shared" si="16"/>
        <v>7411.92</v>
      </c>
      <c r="J180" s="11">
        <f t="shared" si="17"/>
        <v>0.18726591760299627</v>
      </c>
      <c r="K180" t="str">
        <f t="shared" si="18"/>
        <v>June</v>
      </c>
      <c r="L180" t="str">
        <f t="shared" si="19"/>
        <v>2022</v>
      </c>
    </row>
    <row r="181" spans="1:12" x14ac:dyDescent="0.3">
      <c r="A181" t="s">
        <v>46</v>
      </c>
      <c r="B181" s="1">
        <v>44833</v>
      </c>
      <c r="C181" s="1">
        <v>44848</v>
      </c>
      <c r="D181" t="s">
        <v>13</v>
      </c>
      <c r="E181">
        <v>1480</v>
      </c>
      <c r="F181" s="8">
        <v>85.22</v>
      </c>
      <c r="G181">
        <v>100</v>
      </c>
      <c r="H181">
        <f t="shared" si="15"/>
        <v>15</v>
      </c>
      <c r="I181" s="9">
        <f t="shared" si="16"/>
        <v>126125.59999999999</v>
      </c>
      <c r="J181" s="11">
        <f t="shared" si="17"/>
        <v>6.7567567567567571E-2</v>
      </c>
      <c r="K181" t="str">
        <f t="shared" si="18"/>
        <v>September</v>
      </c>
      <c r="L181" t="str">
        <f t="shared" si="19"/>
        <v>2022</v>
      </c>
    </row>
    <row r="182" spans="1:12" x14ac:dyDescent="0.3">
      <c r="A182" t="s">
        <v>47</v>
      </c>
      <c r="B182" s="1">
        <v>45183</v>
      </c>
      <c r="C182" s="1">
        <v>45189</v>
      </c>
      <c r="D182" t="s">
        <v>9</v>
      </c>
      <c r="E182">
        <v>798</v>
      </c>
      <c r="F182" s="8">
        <v>19.09</v>
      </c>
      <c r="G182">
        <v>100</v>
      </c>
      <c r="H182">
        <f t="shared" si="15"/>
        <v>6</v>
      </c>
      <c r="I182" s="9">
        <f t="shared" si="16"/>
        <v>15233.82</v>
      </c>
      <c r="J182" s="11">
        <f t="shared" si="17"/>
        <v>0.12531328320802004</v>
      </c>
      <c r="K182" t="str">
        <f t="shared" si="18"/>
        <v>September</v>
      </c>
      <c r="L182" t="str">
        <f t="shared" si="19"/>
        <v>2023</v>
      </c>
    </row>
    <row r="183" spans="1:12" x14ac:dyDescent="0.3">
      <c r="A183" t="s">
        <v>49</v>
      </c>
      <c r="B183" s="1">
        <v>44995</v>
      </c>
      <c r="C183" s="1">
        <v>45007</v>
      </c>
      <c r="D183" t="s">
        <v>13</v>
      </c>
      <c r="E183">
        <v>1728</v>
      </c>
      <c r="F183" s="8">
        <v>94.83</v>
      </c>
      <c r="G183">
        <v>100</v>
      </c>
      <c r="H183">
        <f t="shared" si="15"/>
        <v>12</v>
      </c>
      <c r="I183" s="9">
        <f t="shared" si="16"/>
        <v>163866.23999999999</v>
      </c>
      <c r="J183" s="11">
        <f t="shared" si="17"/>
        <v>5.7870370370370371E-2</v>
      </c>
      <c r="K183" t="str">
        <f t="shared" si="18"/>
        <v>March</v>
      </c>
      <c r="L183" t="str">
        <f t="shared" si="19"/>
        <v>2023</v>
      </c>
    </row>
    <row r="184" spans="1:12" x14ac:dyDescent="0.3">
      <c r="A184" t="s">
        <v>47</v>
      </c>
      <c r="B184" s="1">
        <v>45114</v>
      </c>
      <c r="C184" s="1">
        <v>45128</v>
      </c>
      <c r="D184" t="s">
        <v>9</v>
      </c>
      <c r="E184">
        <v>590</v>
      </c>
      <c r="F184" s="8">
        <v>16.89</v>
      </c>
      <c r="G184">
        <v>46</v>
      </c>
      <c r="H184">
        <f t="shared" si="15"/>
        <v>14</v>
      </c>
      <c r="I184" s="9">
        <f t="shared" si="16"/>
        <v>9965.1</v>
      </c>
      <c r="J184" s="11">
        <f t="shared" si="17"/>
        <v>7.796610169491526E-2</v>
      </c>
      <c r="K184" t="str">
        <f t="shared" si="18"/>
        <v>July</v>
      </c>
      <c r="L184" t="str">
        <f t="shared" si="19"/>
        <v>2023</v>
      </c>
    </row>
    <row r="185" spans="1:12" x14ac:dyDescent="0.3">
      <c r="A185" t="s">
        <v>48</v>
      </c>
      <c r="B185" s="1">
        <v>45268</v>
      </c>
      <c r="C185" s="1">
        <v>45283</v>
      </c>
      <c r="D185" t="s">
        <v>11</v>
      </c>
      <c r="E185">
        <v>1109</v>
      </c>
      <c r="F185" s="8">
        <v>38.93</v>
      </c>
      <c r="G185">
        <v>152</v>
      </c>
      <c r="H185">
        <f t="shared" si="15"/>
        <v>15</v>
      </c>
      <c r="I185" s="9">
        <f t="shared" si="16"/>
        <v>43173.37</v>
      </c>
      <c r="J185" s="11">
        <f t="shared" si="17"/>
        <v>0.13706041478809738</v>
      </c>
      <c r="K185" t="str">
        <f t="shared" si="18"/>
        <v>December</v>
      </c>
      <c r="L185" t="str">
        <f t="shared" si="19"/>
        <v>2023</v>
      </c>
    </row>
    <row r="186" spans="1:12" x14ac:dyDescent="0.3">
      <c r="A186" t="s">
        <v>47</v>
      </c>
      <c r="B186" s="1">
        <v>44767</v>
      </c>
      <c r="C186" s="1">
        <v>44774</v>
      </c>
      <c r="D186" t="s">
        <v>10</v>
      </c>
      <c r="E186">
        <v>574</v>
      </c>
      <c r="F186" s="8">
        <v>85.03</v>
      </c>
      <c r="G186">
        <v>54</v>
      </c>
      <c r="H186">
        <f t="shared" si="15"/>
        <v>7</v>
      </c>
      <c r="I186" s="9">
        <f t="shared" si="16"/>
        <v>48807.22</v>
      </c>
      <c r="J186" s="11">
        <f t="shared" si="17"/>
        <v>9.4076655052264813E-2</v>
      </c>
      <c r="K186" t="str">
        <f t="shared" si="18"/>
        <v>July</v>
      </c>
      <c r="L186" t="str">
        <f t="shared" si="19"/>
        <v>2022</v>
      </c>
    </row>
    <row r="187" spans="1:12" x14ac:dyDescent="0.3">
      <c r="A187" t="s">
        <v>50</v>
      </c>
      <c r="B187" s="1">
        <v>44881</v>
      </c>
      <c r="C187" s="1">
        <v>44885</v>
      </c>
      <c r="D187" t="s">
        <v>11</v>
      </c>
      <c r="E187">
        <v>1912</v>
      </c>
      <c r="F187" s="8">
        <v>27.94</v>
      </c>
      <c r="G187">
        <v>83</v>
      </c>
      <c r="H187">
        <f t="shared" si="15"/>
        <v>4</v>
      </c>
      <c r="I187" s="9">
        <f t="shared" si="16"/>
        <v>53421.279999999999</v>
      </c>
      <c r="J187" s="11">
        <f t="shared" si="17"/>
        <v>4.3410041841004186E-2</v>
      </c>
      <c r="K187" t="str">
        <f t="shared" si="18"/>
        <v>November</v>
      </c>
      <c r="L187" t="str">
        <f t="shared" si="19"/>
        <v>2022</v>
      </c>
    </row>
    <row r="188" spans="1:12" x14ac:dyDescent="0.3">
      <c r="A188" t="s">
        <v>46</v>
      </c>
      <c r="B188" s="1">
        <v>44970</v>
      </c>
      <c r="C188" s="1">
        <v>44989</v>
      </c>
      <c r="D188" t="s">
        <v>11</v>
      </c>
      <c r="E188">
        <v>1772</v>
      </c>
      <c r="F188" s="8">
        <v>30.72</v>
      </c>
      <c r="G188">
        <v>46</v>
      </c>
      <c r="H188">
        <f t="shared" si="15"/>
        <v>19</v>
      </c>
      <c r="I188" s="9">
        <f t="shared" si="16"/>
        <v>54435.839999999997</v>
      </c>
      <c r="J188" s="11">
        <f t="shared" si="17"/>
        <v>2.5959367945823927E-2</v>
      </c>
      <c r="K188" t="str">
        <f t="shared" si="18"/>
        <v>February</v>
      </c>
      <c r="L188" t="str">
        <f t="shared" si="19"/>
        <v>2023</v>
      </c>
    </row>
    <row r="189" spans="1:12" x14ac:dyDescent="0.3">
      <c r="A189" t="s">
        <v>47</v>
      </c>
      <c r="B189" s="1">
        <v>45249</v>
      </c>
      <c r="C189" s="1">
        <v>45259</v>
      </c>
      <c r="D189" t="s">
        <v>9</v>
      </c>
      <c r="E189">
        <v>1316</v>
      </c>
      <c r="F189" s="8">
        <v>48.11</v>
      </c>
      <c r="G189">
        <v>135</v>
      </c>
      <c r="H189">
        <f t="shared" si="15"/>
        <v>10</v>
      </c>
      <c r="I189" s="9">
        <f t="shared" si="16"/>
        <v>63312.76</v>
      </c>
      <c r="J189" s="11">
        <f t="shared" si="17"/>
        <v>0.10258358662613981</v>
      </c>
      <c r="K189" t="str">
        <f t="shared" si="18"/>
        <v>November</v>
      </c>
      <c r="L189" t="str">
        <f t="shared" si="19"/>
        <v>2023</v>
      </c>
    </row>
    <row r="190" spans="1:12" x14ac:dyDescent="0.3">
      <c r="A190" t="s">
        <v>48</v>
      </c>
      <c r="B190" s="1">
        <v>44592</v>
      </c>
      <c r="C190" s="1">
        <v>44610</v>
      </c>
      <c r="D190" t="s">
        <v>13</v>
      </c>
      <c r="E190">
        <v>5000</v>
      </c>
      <c r="F190" s="8">
        <v>54.5</v>
      </c>
      <c r="G190">
        <v>22</v>
      </c>
      <c r="H190">
        <f t="shared" si="15"/>
        <v>18</v>
      </c>
      <c r="I190" s="9">
        <f t="shared" si="16"/>
        <v>272500</v>
      </c>
      <c r="J190" s="11">
        <f t="shared" si="17"/>
        <v>4.4000000000000003E-3</v>
      </c>
      <c r="K190" t="str">
        <f t="shared" si="18"/>
        <v>January</v>
      </c>
      <c r="L190" t="str">
        <f t="shared" si="19"/>
        <v>2022</v>
      </c>
    </row>
    <row r="191" spans="1:12" x14ac:dyDescent="0.3">
      <c r="A191" t="s">
        <v>48</v>
      </c>
      <c r="B191" s="1">
        <v>45010</v>
      </c>
      <c r="C191" s="1">
        <v>45029</v>
      </c>
      <c r="D191" t="s">
        <v>11</v>
      </c>
      <c r="E191">
        <v>627</v>
      </c>
      <c r="F191" s="8">
        <v>46.23</v>
      </c>
      <c r="G191">
        <v>0</v>
      </c>
      <c r="H191">
        <f t="shared" si="15"/>
        <v>19</v>
      </c>
      <c r="I191" s="9">
        <f t="shared" si="16"/>
        <v>28986.21</v>
      </c>
      <c r="J191" s="11">
        <f t="shared" si="17"/>
        <v>0</v>
      </c>
      <c r="K191" t="str">
        <f t="shared" si="18"/>
        <v>March</v>
      </c>
      <c r="L191" t="str">
        <f t="shared" si="19"/>
        <v>2023</v>
      </c>
    </row>
    <row r="192" spans="1:12" x14ac:dyDescent="0.3">
      <c r="A192" t="s">
        <v>47</v>
      </c>
      <c r="B192" s="1">
        <v>45091</v>
      </c>
      <c r="C192" s="1">
        <v>45093</v>
      </c>
      <c r="D192" t="s">
        <v>12</v>
      </c>
      <c r="E192">
        <v>731</v>
      </c>
      <c r="F192" s="8">
        <v>56.02</v>
      </c>
      <c r="G192">
        <v>70</v>
      </c>
      <c r="H192">
        <f t="shared" si="15"/>
        <v>2</v>
      </c>
      <c r="I192" s="9">
        <f t="shared" si="16"/>
        <v>40950.620000000003</v>
      </c>
      <c r="J192" s="11">
        <f t="shared" si="17"/>
        <v>9.575923392612859E-2</v>
      </c>
      <c r="K192" t="str">
        <f t="shared" si="18"/>
        <v>June</v>
      </c>
      <c r="L192" t="str">
        <f t="shared" si="19"/>
        <v>2023</v>
      </c>
    </row>
    <row r="193" spans="1:12" x14ac:dyDescent="0.3">
      <c r="A193" t="s">
        <v>47</v>
      </c>
      <c r="B193" s="1">
        <v>44685</v>
      </c>
      <c r="C193" s="1">
        <v>44695</v>
      </c>
      <c r="D193" t="s">
        <v>9</v>
      </c>
      <c r="E193">
        <v>1647</v>
      </c>
      <c r="F193" s="8">
        <v>13.57</v>
      </c>
      <c r="G193">
        <v>157</v>
      </c>
      <c r="H193">
        <f t="shared" si="15"/>
        <v>10</v>
      </c>
      <c r="I193" s="9">
        <f t="shared" si="16"/>
        <v>22349.79</v>
      </c>
      <c r="J193" s="11">
        <f t="shared" si="17"/>
        <v>9.532483302975106E-2</v>
      </c>
      <c r="K193" t="str">
        <f t="shared" si="18"/>
        <v>May</v>
      </c>
      <c r="L193" t="str">
        <f t="shared" si="19"/>
        <v>2022</v>
      </c>
    </row>
    <row r="194" spans="1:12" x14ac:dyDescent="0.3">
      <c r="A194" t="s">
        <v>48</v>
      </c>
      <c r="B194" s="1">
        <v>44815</v>
      </c>
      <c r="C194" s="1">
        <v>44823</v>
      </c>
      <c r="D194" t="s">
        <v>10</v>
      </c>
      <c r="E194">
        <v>1062</v>
      </c>
      <c r="F194" s="8">
        <v>34.03</v>
      </c>
      <c r="G194">
        <v>0</v>
      </c>
      <c r="H194">
        <f t="shared" si="15"/>
        <v>8</v>
      </c>
      <c r="I194" s="9">
        <f t="shared" si="16"/>
        <v>36139.86</v>
      </c>
      <c r="J194" s="11">
        <f t="shared" si="17"/>
        <v>0</v>
      </c>
      <c r="K194" t="str">
        <f t="shared" si="18"/>
        <v>September</v>
      </c>
      <c r="L194" t="str">
        <f t="shared" si="19"/>
        <v>2022</v>
      </c>
    </row>
    <row r="195" spans="1:12" x14ac:dyDescent="0.3">
      <c r="A195" t="s">
        <v>47</v>
      </c>
      <c r="B195" s="1">
        <v>44792</v>
      </c>
      <c r="C195" s="1">
        <v>44804</v>
      </c>
      <c r="D195" t="s">
        <v>9</v>
      </c>
      <c r="E195">
        <v>695</v>
      </c>
      <c r="F195" s="8">
        <v>76.8</v>
      </c>
      <c r="G195">
        <v>0</v>
      </c>
      <c r="H195">
        <f t="shared" si="15"/>
        <v>12</v>
      </c>
      <c r="I195" s="9">
        <f t="shared" si="16"/>
        <v>53376</v>
      </c>
      <c r="J195" s="11">
        <f t="shared" si="17"/>
        <v>0</v>
      </c>
      <c r="K195" t="str">
        <f t="shared" si="18"/>
        <v>August</v>
      </c>
      <c r="L195" t="str">
        <f t="shared" si="19"/>
        <v>2022</v>
      </c>
    </row>
    <row r="196" spans="1:12" x14ac:dyDescent="0.3">
      <c r="A196" t="s">
        <v>49</v>
      </c>
      <c r="B196" s="1">
        <v>44627</v>
      </c>
      <c r="C196" s="1">
        <v>44634</v>
      </c>
      <c r="D196" t="s">
        <v>10</v>
      </c>
      <c r="E196">
        <v>845</v>
      </c>
      <c r="F196" s="8">
        <v>91.47</v>
      </c>
      <c r="G196">
        <v>0</v>
      </c>
      <c r="H196">
        <f t="shared" ref="H196:H259" si="20" xml:space="preserve"> C196-B196</f>
        <v>7</v>
      </c>
      <c r="I196" s="9">
        <f t="shared" ref="I196:I259" si="21">F196*E196</f>
        <v>77292.149999999994</v>
      </c>
      <c r="J196" s="11">
        <f t="shared" ref="J196:J259" si="22">(G196/E196)</f>
        <v>0</v>
      </c>
      <c r="K196" t="str">
        <f t="shared" ref="K196:K259" si="23">TEXT(B196,"mmmm")</f>
        <v>March</v>
      </c>
      <c r="L196" t="str">
        <f t="shared" ref="L196:L259" si="24">TEXT(B196,"yyyy")</f>
        <v>2022</v>
      </c>
    </row>
    <row r="197" spans="1:12" x14ac:dyDescent="0.3">
      <c r="A197" t="s">
        <v>50</v>
      </c>
      <c r="B197" s="1">
        <v>44908</v>
      </c>
      <c r="C197" s="1">
        <v>44913</v>
      </c>
      <c r="D197" t="s">
        <v>10</v>
      </c>
      <c r="E197">
        <v>1101</v>
      </c>
      <c r="F197" s="8">
        <v>59.13</v>
      </c>
      <c r="G197">
        <v>54</v>
      </c>
      <c r="H197">
        <f t="shared" si="20"/>
        <v>5</v>
      </c>
      <c r="I197" s="9">
        <f t="shared" si="21"/>
        <v>65102.130000000005</v>
      </c>
      <c r="J197" s="11">
        <f t="shared" si="22"/>
        <v>4.9046321525885561E-2</v>
      </c>
      <c r="K197" t="str">
        <f t="shared" si="23"/>
        <v>December</v>
      </c>
      <c r="L197" t="str">
        <f t="shared" si="24"/>
        <v>2022</v>
      </c>
    </row>
    <row r="198" spans="1:12" x14ac:dyDescent="0.3">
      <c r="A198" t="s">
        <v>48</v>
      </c>
      <c r="B198" s="1">
        <v>44929</v>
      </c>
      <c r="C198" s="1">
        <v>44947</v>
      </c>
      <c r="D198" t="s">
        <v>10</v>
      </c>
      <c r="E198">
        <v>749</v>
      </c>
      <c r="F198" s="8">
        <v>97.07</v>
      </c>
      <c r="G198">
        <v>123</v>
      </c>
      <c r="H198">
        <f t="shared" si="20"/>
        <v>18</v>
      </c>
      <c r="I198" s="9">
        <f t="shared" si="21"/>
        <v>72705.429999999993</v>
      </c>
      <c r="J198" s="11">
        <f t="shared" si="22"/>
        <v>0.16421895861148197</v>
      </c>
      <c r="K198" t="str">
        <f t="shared" si="23"/>
        <v>January</v>
      </c>
      <c r="L198" t="str">
        <f t="shared" si="24"/>
        <v>2023</v>
      </c>
    </row>
    <row r="199" spans="1:12" x14ac:dyDescent="0.3">
      <c r="A199" t="s">
        <v>48</v>
      </c>
      <c r="B199" s="1">
        <v>45164</v>
      </c>
      <c r="C199" s="1">
        <v>45179</v>
      </c>
      <c r="D199" t="s">
        <v>9</v>
      </c>
      <c r="E199">
        <v>1629</v>
      </c>
      <c r="F199" s="8">
        <v>21.51</v>
      </c>
      <c r="G199">
        <v>250</v>
      </c>
      <c r="H199">
        <f t="shared" si="20"/>
        <v>15</v>
      </c>
      <c r="I199" s="9">
        <f t="shared" si="21"/>
        <v>35039.79</v>
      </c>
      <c r="J199" s="11">
        <f t="shared" si="22"/>
        <v>0.1534683855125844</v>
      </c>
      <c r="K199" t="str">
        <f t="shared" si="23"/>
        <v>August</v>
      </c>
      <c r="L199" t="str">
        <f t="shared" si="24"/>
        <v>2023</v>
      </c>
    </row>
    <row r="200" spans="1:12" x14ac:dyDescent="0.3">
      <c r="A200" t="s">
        <v>48</v>
      </c>
      <c r="B200" s="1">
        <v>45129</v>
      </c>
      <c r="C200" s="1">
        <v>45141</v>
      </c>
      <c r="D200" t="s">
        <v>12</v>
      </c>
      <c r="E200">
        <v>1413</v>
      </c>
      <c r="F200" s="8">
        <v>54.79</v>
      </c>
      <c r="G200">
        <v>0</v>
      </c>
      <c r="H200">
        <f t="shared" si="20"/>
        <v>12</v>
      </c>
      <c r="I200" s="9">
        <f t="shared" si="21"/>
        <v>77418.27</v>
      </c>
      <c r="J200" s="11">
        <f t="shared" si="22"/>
        <v>0</v>
      </c>
      <c r="K200" t="str">
        <f t="shared" si="23"/>
        <v>July</v>
      </c>
      <c r="L200" t="str">
        <f t="shared" si="24"/>
        <v>2023</v>
      </c>
    </row>
    <row r="201" spans="1:12" x14ac:dyDescent="0.3">
      <c r="A201" t="s">
        <v>49</v>
      </c>
      <c r="B201" s="1">
        <v>44797</v>
      </c>
      <c r="C201" s="1">
        <v>44800</v>
      </c>
      <c r="D201" t="s">
        <v>11</v>
      </c>
      <c r="E201">
        <v>1871</v>
      </c>
      <c r="F201" s="8">
        <v>59.96</v>
      </c>
      <c r="G201">
        <v>47</v>
      </c>
      <c r="H201">
        <f t="shared" si="20"/>
        <v>3</v>
      </c>
      <c r="I201" s="9">
        <f t="shared" si="21"/>
        <v>112185.16</v>
      </c>
      <c r="J201" s="11">
        <f t="shared" si="22"/>
        <v>2.512025654730091E-2</v>
      </c>
      <c r="K201" t="str">
        <f t="shared" si="23"/>
        <v>August</v>
      </c>
      <c r="L201" t="str">
        <f t="shared" si="24"/>
        <v>2022</v>
      </c>
    </row>
    <row r="202" spans="1:12" x14ac:dyDescent="0.3">
      <c r="A202" t="s">
        <v>50</v>
      </c>
      <c r="B202" s="1">
        <v>44787</v>
      </c>
      <c r="C202" s="1">
        <v>44801</v>
      </c>
      <c r="D202" t="s">
        <v>13</v>
      </c>
      <c r="E202">
        <v>1713</v>
      </c>
      <c r="F202" s="8">
        <v>35.43</v>
      </c>
      <c r="G202">
        <v>74</v>
      </c>
      <c r="H202">
        <f t="shared" si="20"/>
        <v>14</v>
      </c>
      <c r="I202" s="9">
        <f t="shared" si="21"/>
        <v>60691.59</v>
      </c>
      <c r="J202" s="11">
        <f t="shared" si="22"/>
        <v>4.3199065966141273E-2</v>
      </c>
      <c r="K202" t="str">
        <f t="shared" si="23"/>
        <v>August</v>
      </c>
      <c r="L202" t="str">
        <f t="shared" si="24"/>
        <v>2022</v>
      </c>
    </row>
    <row r="203" spans="1:12" x14ac:dyDescent="0.3">
      <c r="A203" t="s">
        <v>48</v>
      </c>
      <c r="B203" s="1">
        <v>44928</v>
      </c>
      <c r="C203" s="1">
        <v>44933</v>
      </c>
      <c r="D203" t="s">
        <v>11</v>
      </c>
      <c r="E203">
        <v>1589</v>
      </c>
      <c r="F203" s="8">
        <v>55.64</v>
      </c>
      <c r="G203">
        <v>0</v>
      </c>
      <c r="H203">
        <f t="shared" si="20"/>
        <v>5</v>
      </c>
      <c r="I203" s="9">
        <f t="shared" si="21"/>
        <v>88411.96</v>
      </c>
      <c r="J203" s="11">
        <f t="shared" si="22"/>
        <v>0</v>
      </c>
      <c r="K203" t="str">
        <f t="shared" si="23"/>
        <v>January</v>
      </c>
      <c r="L203" t="str">
        <f t="shared" si="24"/>
        <v>2023</v>
      </c>
    </row>
    <row r="204" spans="1:12" x14ac:dyDescent="0.3">
      <c r="A204" t="s">
        <v>50</v>
      </c>
      <c r="B204" s="1">
        <v>44634</v>
      </c>
      <c r="C204" s="1">
        <v>44646</v>
      </c>
      <c r="D204" t="s">
        <v>13</v>
      </c>
      <c r="E204">
        <v>1421</v>
      </c>
      <c r="F204" s="8">
        <v>11.92</v>
      </c>
      <c r="G204">
        <v>76</v>
      </c>
      <c r="H204">
        <f t="shared" si="20"/>
        <v>12</v>
      </c>
      <c r="I204" s="9">
        <f t="shared" si="21"/>
        <v>16938.32</v>
      </c>
      <c r="J204" s="11">
        <f t="shared" si="22"/>
        <v>5.3483462350457422E-2</v>
      </c>
      <c r="K204" t="str">
        <f t="shared" si="23"/>
        <v>March</v>
      </c>
      <c r="L204" t="str">
        <f t="shared" si="24"/>
        <v>2022</v>
      </c>
    </row>
    <row r="205" spans="1:12" x14ac:dyDescent="0.3">
      <c r="A205" t="s">
        <v>49</v>
      </c>
      <c r="B205" s="1">
        <v>45286</v>
      </c>
      <c r="C205" s="1">
        <v>45295</v>
      </c>
      <c r="D205" t="s">
        <v>10</v>
      </c>
      <c r="E205">
        <v>1546</v>
      </c>
      <c r="F205" s="8">
        <v>43.47</v>
      </c>
      <c r="G205">
        <v>53</v>
      </c>
      <c r="H205">
        <f t="shared" si="20"/>
        <v>9</v>
      </c>
      <c r="I205" s="9">
        <f t="shared" si="21"/>
        <v>67204.62</v>
      </c>
      <c r="J205" s="11">
        <f t="shared" si="22"/>
        <v>3.428201811125485E-2</v>
      </c>
      <c r="K205" t="str">
        <f t="shared" si="23"/>
        <v>December</v>
      </c>
      <c r="L205" t="str">
        <f t="shared" si="24"/>
        <v>2023</v>
      </c>
    </row>
    <row r="206" spans="1:12" x14ac:dyDescent="0.3">
      <c r="A206" t="s">
        <v>48</v>
      </c>
      <c r="B206" s="1">
        <v>45208</v>
      </c>
      <c r="C206" s="1">
        <v>45217</v>
      </c>
      <c r="D206" t="s">
        <v>13</v>
      </c>
      <c r="E206">
        <v>1304</v>
      </c>
      <c r="F206" s="8">
        <v>32.08</v>
      </c>
      <c r="G206">
        <v>0</v>
      </c>
      <c r="H206">
        <f t="shared" si="20"/>
        <v>9</v>
      </c>
      <c r="I206" s="9">
        <f t="shared" si="21"/>
        <v>41832.32</v>
      </c>
      <c r="J206" s="11">
        <f t="shared" si="22"/>
        <v>0</v>
      </c>
      <c r="K206" t="str">
        <f t="shared" si="23"/>
        <v>October</v>
      </c>
      <c r="L206" t="str">
        <f t="shared" si="24"/>
        <v>2023</v>
      </c>
    </row>
    <row r="207" spans="1:12" x14ac:dyDescent="0.3">
      <c r="A207" t="s">
        <v>50</v>
      </c>
      <c r="B207" s="1">
        <v>44594</v>
      </c>
      <c r="C207" s="1">
        <v>44605</v>
      </c>
      <c r="D207" t="s">
        <v>10</v>
      </c>
      <c r="E207">
        <v>1450</v>
      </c>
      <c r="F207" s="8">
        <v>63.74</v>
      </c>
      <c r="G207">
        <v>71</v>
      </c>
      <c r="H207">
        <f t="shared" si="20"/>
        <v>11</v>
      </c>
      <c r="I207" s="9">
        <f t="shared" si="21"/>
        <v>92423</v>
      </c>
      <c r="J207" s="11">
        <f t="shared" si="22"/>
        <v>4.8965517241379312E-2</v>
      </c>
      <c r="K207" t="str">
        <f t="shared" si="23"/>
        <v>February</v>
      </c>
      <c r="L207" t="str">
        <f t="shared" si="24"/>
        <v>2022</v>
      </c>
    </row>
    <row r="208" spans="1:12" x14ac:dyDescent="0.3">
      <c r="A208" t="s">
        <v>47</v>
      </c>
      <c r="B208" s="1">
        <v>44900</v>
      </c>
      <c r="C208" s="1">
        <v>44915</v>
      </c>
      <c r="D208" t="s">
        <v>13</v>
      </c>
      <c r="E208">
        <v>1356</v>
      </c>
      <c r="F208" s="8">
        <v>75.03</v>
      </c>
      <c r="G208">
        <v>131</v>
      </c>
      <c r="H208">
        <f t="shared" si="20"/>
        <v>15</v>
      </c>
      <c r="I208" s="9">
        <f t="shared" si="21"/>
        <v>101740.68000000001</v>
      </c>
      <c r="J208" s="11">
        <f t="shared" si="22"/>
        <v>9.6607669616519176E-2</v>
      </c>
      <c r="K208" t="str">
        <f t="shared" si="23"/>
        <v>December</v>
      </c>
      <c r="L208" t="str">
        <f t="shared" si="24"/>
        <v>2022</v>
      </c>
    </row>
    <row r="209" spans="1:12" x14ac:dyDescent="0.3">
      <c r="A209" t="s">
        <v>50</v>
      </c>
      <c r="B209" s="1">
        <v>45088</v>
      </c>
      <c r="C209" s="1">
        <v>45096</v>
      </c>
      <c r="D209" t="s">
        <v>11</v>
      </c>
      <c r="E209">
        <v>677</v>
      </c>
      <c r="F209" s="8">
        <v>59.52</v>
      </c>
      <c r="G209">
        <v>39</v>
      </c>
      <c r="H209">
        <f t="shared" si="20"/>
        <v>8</v>
      </c>
      <c r="I209" s="9">
        <f t="shared" si="21"/>
        <v>40295.040000000001</v>
      </c>
      <c r="J209" s="11">
        <f t="shared" si="22"/>
        <v>5.7607090103397339E-2</v>
      </c>
      <c r="K209" t="str">
        <f t="shared" si="23"/>
        <v>June</v>
      </c>
      <c r="L209" t="str">
        <f t="shared" si="24"/>
        <v>2023</v>
      </c>
    </row>
    <row r="210" spans="1:12" x14ac:dyDescent="0.3">
      <c r="A210" t="s">
        <v>48</v>
      </c>
      <c r="B210" s="1">
        <v>44805</v>
      </c>
      <c r="C210" s="1">
        <v>44818</v>
      </c>
      <c r="D210" t="s">
        <v>9</v>
      </c>
      <c r="E210">
        <v>1022</v>
      </c>
      <c r="F210" s="8">
        <v>18.54</v>
      </c>
      <c r="G210">
        <v>150</v>
      </c>
      <c r="H210">
        <f t="shared" si="20"/>
        <v>13</v>
      </c>
      <c r="I210" s="9">
        <f t="shared" si="21"/>
        <v>18947.879999999997</v>
      </c>
      <c r="J210" s="11">
        <f t="shared" si="22"/>
        <v>0.14677103718199608</v>
      </c>
      <c r="K210" t="str">
        <f t="shared" si="23"/>
        <v>September</v>
      </c>
      <c r="L210" t="str">
        <f t="shared" si="24"/>
        <v>2022</v>
      </c>
    </row>
    <row r="211" spans="1:12" x14ac:dyDescent="0.3">
      <c r="A211" t="s">
        <v>49</v>
      </c>
      <c r="B211" s="1">
        <v>45247</v>
      </c>
      <c r="C211" s="1">
        <v>45259</v>
      </c>
      <c r="D211" t="s">
        <v>13</v>
      </c>
      <c r="E211">
        <v>1332</v>
      </c>
      <c r="F211" s="8">
        <v>69.73</v>
      </c>
      <c r="G211">
        <v>41</v>
      </c>
      <c r="H211">
        <f t="shared" si="20"/>
        <v>12</v>
      </c>
      <c r="I211" s="9">
        <f t="shared" si="21"/>
        <v>92880.36</v>
      </c>
      <c r="J211" s="11">
        <f t="shared" si="22"/>
        <v>3.0780780780780781E-2</v>
      </c>
      <c r="K211" t="str">
        <f t="shared" si="23"/>
        <v>November</v>
      </c>
      <c r="L211" t="str">
        <f t="shared" si="24"/>
        <v>2023</v>
      </c>
    </row>
    <row r="212" spans="1:12" x14ac:dyDescent="0.3">
      <c r="A212" t="s">
        <v>47</v>
      </c>
      <c r="B212" s="1">
        <v>45059</v>
      </c>
      <c r="C212" s="1">
        <v>45072</v>
      </c>
      <c r="D212" t="s">
        <v>12</v>
      </c>
      <c r="E212">
        <v>1432</v>
      </c>
      <c r="F212" s="8">
        <v>83.26</v>
      </c>
      <c r="G212">
        <v>174</v>
      </c>
      <c r="H212">
        <f t="shared" si="20"/>
        <v>13</v>
      </c>
      <c r="I212" s="9">
        <f t="shared" si="21"/>
        <v>119228.32</v>
      </c>
      <c r="J212" s="11">
        <f t="shared" si="22"/>
        <v>0.12150837988826815</v>
      </c>
      <c r="K212" t="str">
        <f t="shared" si="23"/>
        <v>May</v>
      </c>
      <c r="L212" t="str">
        <f t="shared" si="24"/>
        <v>2023</v>
      </c>
    </row>
    <row r="213" spans="1:12" x14ac:dyDescent="0.3">
      <c r="A213" t="s">
        <v>47</v>
      </c>
      <c r="B213" s="1">
        <v>44781</v>
      </c>
      <c r="C213" s="1">
        <v>44799</v>
      </c>
      <c r="D213" t="s">
        <v>11</v>
      </c>
      <c r="E213">
        <v>759</v>
      </c>
      <c r="F213" s="8">
        <v>50.56</v>
      </c>
      <c r="G213">
        <v>63</v>
      </c>
      <c r="H213">
        <f t="shared" si="20"/>
        <v>18</v>
      </c>
      <c r="I213" s="9">
        <f t="shared" si="21"/>
        <v>38375.040000000001</v>
      </c>
      <c r="J213" s="11">
        <f t="shared" si="22"/>
        <v>8.3003952569169967E-2</v>
      </c>
      <c r="K213" t="str">
        <f t="shared" si="23"/>
        <v>August</v>
      </c>
      <c r="L213" t="str">
        <f t="shared" si="24"/>
        <v>2022</v>
      </c>
    </row>
    <row r="214" spans="1:12" x14ac:dyDescent="0.3">
      <c r="A214" t="s">
        <v>46</v>
      </c>
      <c r="B214" s="1">
        <v>45114</v>
      </c>
      <c r="C214" s="1">
        <v>45126</v>
      </c>
      <c r="D214" t="s">
        <v>11</v>
      </c>
      <c r="E214">
        <v>1529</v>
      </c>
      <c r="F214" s="8">
        <v>23.42</v>
      </c>
      <c r="G214">
        <v>30</v>
      </c>
      <c r="H214">
        <f t="shared" si="20"/>
        <v>12</v>
      </c>
      <c r="I214" s="9">
        <f t="shared" si="21"/>
        <v>35809.18</v>
      </c>
      <c r="J214" s="11">
        <f t="shared" si="22"/>
        <v>1.962066710268149E-2</v>
      </c>
      <c r="K214" t="str">
        <f t="shared" si="23"/>
        <v>July</v>
      </c>
      <c r="L214" t="str">
        <f t="shared" si="24"/>
        <v>2023</v>
      </c>
    </row>
    <row r="215" spans="1:12" x14ac:dyDescent="0.3">
      <c r="A215" t="s">
        <v>50</v>
      </c>
      <c r="B215" s="1">
        <v>44697</v>
      </c>
      <c r="C215" s="1">
        <v>44706</v>
      </c>
      <c r="D215" t="s">
        <v>13</v>
      </c>
      <c r="E215">
        <v>1484</v>
      </c>
      <c r="F215" s="8">
        <v>36.25</v>
      </c>
      <c r="G215">
        <v>61</v>
      </c>
      <c r="H215">
        <f t="shared" si="20"/>
        <v>9</v>
      </c>
      <c r="I215" s="9">
        <f t="shared" si="21"/>
        <v>53795</v>
      </c>
      <c r="J215" s="11">
        <f t="shared" si="22"/>
        <v>4.1105121293800541E-2</v>
      </c>
      <c r="K215" t="str">
        <f t="shared" si="23"/>
        <v>May</v>
      </c>
      <c r="L215" t="str">
        <f t="shared" si="24"/>
        <v>2022</v>
      </c>
    </row>
    <row r="216" spans="1:12" x14ac:dyDescent="0.3">
      <c r="A216" t="s">
        <v>49</v>
      </c>
      <c r="B216" s="1">
        <v>45146</v>
      </c>
      <c r="C216" s="1">
        <v>45158</v>
      </c>
      <c r="D216" t="s">
        <v>11</v>
      </c>
      <c r="E216">
        <v>698</v>
      </c>
      <c r="F216" s="8">
        <v>46.73</v>
      </c>
      <c r="G216">
        <v>15</v>
      </c>
      <c r="H216">
        <f t="shared" si="20"/>
        <v>12</v>
      </c>
      <c r="I216" s="9">
        <f t="shared" si="21"/>
        <v>32617.539999999997</v>
      </c>
      <c r="J216" s="11">
        <f t="shared" si="22"/>
        <v>2.148997134670487E-2</v>
      </c>
      <c r="K216" t="str">
        <f t="shared" si="23"/>
        <v>August</v>
      </c>
      <c r="L216" t="str">
        <f t="shared" si="24"/>
        <v>2023</v>
      </c>
    </row>
    <row r="217" spans="1:12" x14ac:dyDescent="0.3">
      <c r="A217" t="s">
        <v>49</v>
      </c>
      <c r="B217" s="1">
        <v>45152</v>
      </c>
      <c r="C217" s="1">
        <v>45160</v>
      </c>
      <c r="D217" t="s">
        <v>11</v>
      </c>
      <c r="E217">
        <v>367</v>
      </c>
      <c r="F217" s="8">
        <v>74.61</v>
      </c>
      <c r="G217">
        <v>13</v>
      </c>
      <c r="H217">
        <f t="shared" si="20"/>
        <v>8</v>
      </c>
      <c r="I217" s="9">
        <f t="shared" si="21"/>
        <v>27381.87</v>
      </c>
      <c r="J217" s="11">
        <f t="shared" si="22"/>
        <v>3.5422343324250684E-2</v>
      </c>
      <c r="K217" t="str">
        <f t="shared" si="23"/>
        <v>August</v>
      </c>
      <c r="L217" t="str">
        <f t="shared" si="24"/>
        <v>2023</v>
      </c>
    </row>
    <row r="218" spans="1:12" x14ac:dyDescent="0.3">
      <c r="A218" t="s">
        <v>49</v>
      </c>
      <c r="B218" s="1">
        <v>45046</v>
      </c>
      <c r="C218" s="1">
        <v>45066</v>
      </c>
      <c r="D218" t="s">
        <v>9</v>
      </c>
      <c r="E218">
        <v>1750</v>
      </c>
      <c r="F218" s="8">
        <v>65.97</v>
      </c>
      <c r="G218">
        <v>50</v>
      </c>
      <c r="H218">
        <f t="shared" si="20"/>
        <v>20</v>
      </c>
      <c r="I218" s="9">
        <f t="shared" si="21"/>
        <v>115447.5</v>
      </c>
      <c r="J218" s="11">
        <f t="shared" si="22"/>
        <v>2.8571428571428571E-2</v>
      </c>
      <c r="K218" t="str">
        <f t="shared" si="23"/>
        <v>April</v>
      </c>
      <c r="L218" t="str">
        <f t="shared" si="24"/>
        <v>2023</v>
      </c>
    </row>
    <row r="219" spans="1:12" x14ac:dyDescent="0.3">
      <c r="A219" t="s">
        <v>48</v>
      </c>
      <c r="B219" s="1">
        <v>44810</v>
      </c>
      <c r="C219" s="1">
        <v>44828</v>
      </c>
      <c r="D219" t="s">
        <v>9</v>
      </c>
      <c r="E219">
        <v>1298</v>
      </c>
      <c r="F219" s="8">
        <v>43.73</v>
      </c>
      <c r="G219">
        <v>0</v>
      </c>
      <c r="H219">
        <f t="shared" si="20"/>
        <v>18</v>
      </c>
      <c r="I219" s="9">
        <f t="shared" si="21"/>
        <v>56761.539999999994</v>
      </c>
      <c r="J219" s="11">
        <f t="shared" si="22"/>
        <v>0</v>
      </c>
      <c r="K219" t="str">
        <f t="shared" si="23"/>
        <v>September</v>
      </c>
      <c r="L219" t="str">
        <f t="shared" si="24"/>
        <v>2022</v>
      </c>
    </row>
    <row r="220" spans="1:12" x14ac:dyDescent="0.3">
      <c r="A220" t="s">
        <v>50</v>
      </c>
      <c r="B220" s="1">
        <v>45046</v>
      </c>
      <c r="C220" s="1">
        <v>45066</v>
      </c>
      <c r="D220" t="s">
        <v>11</v>
      </c>
      <c r="E220">
        <v>1892</v>
      </c>
      <c r="F220" s="8">
        <v>106.2</v>
      </c>
      <c r="G220">
        <v>93</v>
      </c>
      <c r="H220">
        <f t="shared" si="20"/>
        <v>20</v>
      </c>
      <c r="I220" s="9">
        <f t="shared" si="21"/>
        <v>200930.4</v>
      </c>
      <c r="J220" s="11">
        <f t="shared" si="22"/>
        <v>4.915433403805497E-2</v>
      </c>
      <c r="K220" t="str">
        <f t="shared" si="23"/>
        <v>April</v>
      </c>
      <c r="L220" t="str">
        <f t="shared" si="24"/>
        <v>2023</v>
      </c>
    </row>
    <row r="221" spans="1:12" x14ac:dyDescent="0.3">
      <c r="A221" t="s">
        <v>47</v>
      </c>
      <c r="B221" s="1">
        <v>44978</v>
      </c>
      <c r="C221" s="1">
        <v>44981</v>
      </c>
      <c r="D221" t="s">
        <v>13</v>
      </c>
      <c r="E221">
        <v>1307</v>
      </c>
      <c r="F221" s="8">
        <v>68.709999999999994</v>
      </c>
      <c r="G221">
        <v>141</v>
      </c>
      <c r="H221">
        <f t="shared" si="20"/>
        <v>3</v>
      </c>
      <c r="I221" s="9">
        <f t="shared" si="21"/>
        <v>89803.969999999987</v>
      </c>
      <c r="J221" s="11">
        <f t="shared" si="22"/>
        <v>0.10788064269319052</v>
      </c>
      <c r="K221" t="str">
        <f t="shared" si="23"/>
        <v>February</v>
      </c>
      <c r="L221" t="str">
        <f t="shared" si="24"/>
        <v>2023</v>
      </c>
    </row>
    <row r="222" spans="1:12" x14ac:dyDescent="0.3">
      <c r="A222" t="s">
        <v>47</v>
      </c>
      <c r="B222" s="1">
        <v>44756</v>
      </c>
      <c r="C222" s="1">
        <v>44771</v>
      </c>
      <c r="D222" t="s">
        <v>13</v>
      </c>
      <c r="E222">
        <v>733</v>
      </c>
      <c r="F222" s="8">
        <v>32.29</v>
      </c>
      <c r="G222">
        <v>78</v>
      </c>
      <c r="H222">
        <f t="shared" si="20"/>
        <v>15</v>
      </c>
      <c r="I222" s="9">
        <f t="shared" si="21"/>
        <v>23668.57</v>
      </c>
      <c r="J222" s="11">
        <f t="shared" si="22"/>
        <v>0.10641200545702592</v>
      </c>
      <c r="K222" t="str">
        <f t="shared" si="23"/>
        <v>July</v>
      </c>
      <c r="L222" t="str">
        <f t="shared" si="24"/>
        <v>2022</v>
      </c>
    </row>
    <row r="223" spans="1:12" x14ac:dyDescent="0.3">
      <c r="A223" t="s">
        <v>47</v>
      </c>
      <c r="B223" s="1">
        <v>44661</v>
      </c>
      <c r="C223" s="1">
        <v>44675</v>
      </c>
      <c r="D223" t="s">
        <v>11</v>
      </c>
      <c r="E223">
        <v>1900</v>
      </c>
      <c r="F223" s="8">
        <v>24.11</v>
      </c>
      <c r="G223">
        <v>188</v>
      </c>
      <c r="H223">
        <f t="shared" si="20"/>
        <v>14</v>
      </c>
      <c r="I223" s="9">
        <f t="shared" si="21"/>
        <v>45809</v>
      </c>
      <c r="J223" s="11">
        <f t="shared" si="22"/>
        <v>9.8947368421052631E-2</v>
      </c>
      <c r="K223" t="str">
        <f t="shared" si="23"/>
        <v>April</v>
      </c>
      <c r="L223" t="str">
        <f t="shared" si="24"/>
        <v>2022</v>
      </c>
    </row>
    <row r="224" spans="1:12" x14ac:dyDescent="0.3">
      <c r="A224" t="s">
        <v>48</v>
      </c>
      <c r="B224" s="1">
        <v>45236</v>
      </c>
      <c r="C224" s="1">
        <v>45238</v>
      </c>
      <c r="D224" t="s">
        <v>10</v>
      </c>
      <c r="E224">
        <v>1447</v>
      </c>
      <c r="F224" s="8">
        <v>35.67</v>
      </c>
      <c r="G224">
        <v>224</v>
      </c>
      <c r="H224">
        <f t="shared" si="20"/>
        <v>2</v>
      </c>
      <c r="I224" s="9">
        <f t="shared" si="21"/>
        <v>51614.490000000005</v>
      </c>
      <c r="J224" s="11">
        <f t="shared" si="22"/>
        <v>0.15480304077401522</v>
      </c>
      <c r="K224" t="str">
        <f t="shared" si="23"/>
        <v>November</v>
      </c>
      <c r="L224" t="str">
        <f t="shared" si="24"/>
        <v>2023</v>
      </c>
    </row>
    <row r="225" spans="1:12" x14ac:dyDescent="0.3">
      <c r="A225" t="s">
        <v>47</v>
      </c>
      <c r="B225" s="1">
        <v>44924</v>
      </c>
      <c r="C225" s="1">
        <v>44940</v>
      </c>
      <c r="D225" t="s">
        <v>9</v>
      </c>
      <c r="E225">
        <v>1681</v>
      </c>
      <c r="F225" s="8">
        <v>28.26</v>
      </c>
      <c r="G225">
        <v>143</v>
      </c>
      <c r="H225">
        <f t="shared" si="20"/>
        <v>16</v>
      </c>
      <c r="I225" s="9">
        <f t="shared" si="21"/>
        <v>47505.060000000005</v>
      </c>
      <c r="J225" s="11">
        <f t="shared" si="22"/>
        <v>8.5068411659726353E-2</v>
      </c>
      <c r="K225" t="str">
        <f t="shared" si="23"/>
        <v>December</v>
      </c>
      <c r="L225" t="str">
        <f t="shared" si="24"/>
        <v>2022</v>
      </c>
    </row>
    <row r="226" spans="1:12" x14ac:dyDescent="0.3">
      <c r="A226" t="s">
        <v>48</v>
      </c>
      <c r="B226" s="1">
        <v>44995</v>
      </c>
      <c r="C226" s="1">
        <v>45003</v>
      </c>
      <c r="D226" t="s">
        <v>13</v>
      </c>
      <c r="E226">
        <v>1545</v>
      </c>
      <c r="F226" s="8">
        <v>38.15</v>
      </c>
      <c r="G226">
        <v>214</v>
      </c>
      <c r="H226">
        <f t="shared" si="20"/>
        <v>8</v>
      </c>
      <c r="I226" s="9">
        <f t="shared" si="21"/>
        <v>58941.75</v>
      </c>
      <c r="J226" s="11">
        <f t="shared" si="22"/>
        <v>0.13851132686084142</v>
      </c>
      <c r="K226" t="str">
        <f t="shared" si="23"/>
        <v>March</v>
      </c>
      <c r="L226" t="str">
        <f t="shared" si="24"/>
        <v>2023</v>
      </c>
    </row>
    <row r="227" spans="1:12" x14ac:dyDescent="0.3">
      <c r="A227" t="s">
        <v>49</v>
      </c>
      <c r="B227" s="1">
        <v>44982</v>
      </c>
      <c r="C227" s="1">
        <v>44987</v>
      </c>
      <c r="D227" t="s">
        <v>12</v>
      </c>
      <c r="E227">
        <v>1306</v>
      </c>
      <c r="F227" s="8">
        <v>27.27</v>
      </c>
      <c r="G227">
        <v>39</v>
      </c>
      <c r="H227">
        <f t="shared" si="20"/>
        <v>5</v>
      </c>
      <c r="I227" s="9">
        <f t="shared" si="21"/>
        <v>35614.620000000003</v>
      </c>
      <c r="J227" s="11">
        <f t="shared" si="22"/>
        <v>2.9862174578866769E-2</v>
      </c>
      <c r="K227" t="str">
        <f t="shared" si="23"/>
        <v>February</v>
      </c>
      <c r="L227" t="str">
        <f t="shared" si="24"/>
        <v>2023</v>
      </c>
    </row>
    <row r="228" spans="1:12" x14ac:dyDescent="0.3">
      <c r="A228" t="s">
        <v>50</v>
      </c>
      <c r="B228" s="1">
        <v>45040</v>
      </c>
      <c r="C228" s="1">
        <v>45052</v>
      </c>
      <c r="D228" t="s">
        <v>12</v>
      </c>
      <c r="E228">
        <v>1765</v>
      </c>
      <c r="F228" s="8">
        <v>97.51</v>
      </c>
      <c r="G228">
        <v>65</v>
      </c>
      <c r="H228">
        <f t="shared" si="20"/>
        <v>12</v>
      </c>
      <c r="I228" s="9">
        <f t="shared" si="21"/>
        <v>172105.15000000002</v>
      </c>
      <c r="J228" s="11">
        <f t="shared" si="22"/>
        <v>3.6827195467422094E-2</v>
      </c>
      <c r="K228" t="str">
        <f t="shared" si="23"/>
        <v>April</v>
      </c>
      <c r="L228" t="str">
        <f t="shared" si="24"/>
        <v>2023</v>
      </c>
    </row>
    <row r="229" spans="1:12" x14ac:dyDescent="0.3">
      <c r="A229" t="s">
        <v>50</v>
      </c>
      <c r="B229" s="1">
        <v>44617</v>
      </c>
      <c r="C229" s="1">
        <v>44635</v>
      </c>
      <c r="D229" t="s">
        <v>11</v>
      </c>
      <c r="E229">
        <v>1186</v>
      </c>
      <c r="F229" s="8">
        <v>17.309999999999999</v>
      </c>
      <c r="G229">
        <v>64</v>
      </c>
      <c r="H229">
        <f t="shared" si="20"/>
        <v>18</v>
      </c>
      <c r="I229" s="9">
        <f t="shared" si="21"/>
        <v>20529.66</v>
      </c>
      <c r="J229" s="11">
        <f t="shared" si="22"/>
        <v>5.3962900505902189E-2</v>
      </c>
      <c r="K229" t="str">
        <f t="shared" si="23"/>
        <v>February</v>
      </c>
      <c r="L229" t="str">
        <f t="shared" si="24"/>
        <v>2022</v>
      </c>
    </row>
    <row r="230" spans="1:12" x14ac:dyDescent="0.3">
      <c r="A230" t="s">
        <v>48</v>
      </c>
      <c r="B230" s="1">
        <v>45251</v>
      </c>
      <c r="C230" s="1">
        <v>45256</v>
      </c>
      <c r="D230" t="s">
        <v>11</v>
      </c>
      <c r="E230">
        <v>1903</v>
      </c>
      <c r="F230" s="8">
        <v>63.5</v>
      </c>
      <c r="G230">
        <v>254</v>
      </c>
      <c r="H230">
        <f t="shared" si="20"/>
        <v>5</v>
      </c>
      <c r="I230" s="9">
        <f t="shared" si="21"/>
        <v>120840.5</v>
      </c>
      <c r="J230" s="11">
        <f t="shared" si="22"/>
        <v>0.13347346295323173</v>
      </c>
      <c r="K230" t="str">
        <f t="shared" si="23"/>
        <v>November</v>
      </c>
      <c r="L230" t="str">
        <f t="shared" si="24"/>
        <v>2023</v>
      </c>
    </row>
    <row r="231" spans="1:12" x14ac:dyDescent="0.3">
      <c r="A231" t="s">
        <v>48</v>
      </c>
      <c r="B231" s="1">
        <v>45231</v>
      </c>
      <c r="C231" s="1">
        <v>45235</v>
      </c>
      <c r="D231" t="s">
        <v>10</v>
      </c>
      <c r="E231">
        <v>1570</v>
      </c>
      <c r="F231" s="8">
        <v>52.1</v>
      </c>
      <c r="G231">
        <v>0</v>
      </c>
      <c r="H231">
        <f t="shared" si="20"/>
        <v>4</v>
      </c>
      <c r="I231" s="9">
        <f t="shared" si="21"/>
        <v>81797</v>
      </c>
      <c r="J231" s="11">
        <f t="shared" si="22"/>
        <v>0</v>
      </c>
      <c r="K231" t="str">
        <f t="shared" si="23"/>
        <v>November</v>
      </c>
      <c r="L231" t="str">
        <f t="shared" si="24"/>
        <v>2023</v>
      </c>
    </row>
    <row r="232" spans="1:12" x14ac:dyDescent="0.3">
      <c r="A232" t="s">
        <v>48</v>
      </c>
      <c r="B232" s="1">
        <v>45223</v>
      </c>
      <c r="C232" s="1">
        <v>45243</v>
      </c>
      <c r="D232" t="s">
        <v>10</v>
      </c>
      <c r="E232">
        <v>491</v>
      </c>
      <c r="F232" s="8">
        <v>108.75</v>
      </c>
      <c r="G232">
        <v>0</v>
      </c>
      <c r="H232">
        <f t="shared" si="20"/>
        <v>20</v>
      </c>
      <c r="I232" s="9">
        <f t="shared" si="21"/>
        <v>53396.25</v>
      </c>
      <c r="J232" s="11">
        <f t="shared" si="22"/>
        <v>0</v>
      </c>
      <c r="K232" t="str">
        <f t="shared" si="23"/>
        <v>October</v>
      </c>
      <c r="L232" t="str">
        <f t="shared" si="24"/>
        <v>2023</v>
      </c>
    </row>
    <row r="233" spans="1:12" x14ac:dyDescent="0.3">
      <c r="A233" t="s">
        <v>47</v>
      </c>
      <c r="B233" s="1">
        <v>44662</v>
      </c>
      <c r="C233" s="1">
        <v>44671</v>
      </c>
      <c r="D233" t="s">
        <v>13</v>
      </c>
      <c r="E233">
        <v>613</v>
      </c>
      <c r="F233" s="8">
        <v>20.38</v>
      </c>
      <c r="G233">
        <v>58</v>
      </c>
      <c r="H233">
        <f t="shared" si="20"/>
        <v>9</v>
      </c>
      <c r="I233" s="9">
        <f t="shared" si="21"/>
        <v>12492.939999999999</v>
      </c>
      <c r="J233" s="11">
        <f t="shared" si="22"/>
        <v>9.461663947797716E-2</v>
      </c>
      <c r="K233" t="str">
        <f t="shared" si="23"/>
        <v>April</v>
      </c>
      <c r="L233" t="str">
        <f t="shared" si="24"/>
        <v>2022</v>
      </c>
    </row>
    <row r="234" spans="1:12" x14ac:dyDescent="0.3">
      <c r="A234" t="s">
        <v>50</v>
      </c>
      <c r="B234" s="1">
        <v>44624</v>
      </c>
      <c r="C234" s="1">
        <v>44636</v>
      </c>
      <c r="D234" t="s">
        <v>12</v>
      </c>
      <c r="E234">
        <v>1341</v>
      </c>
      <c r="F234" s="8">
        <v>46.27</v>
      </c>
      <c r="G234">
        <v>63</v>
      </c>
      <c r="H234">
        <f t="shared" si="20"/>
        <v>12</v>
      </c>
      <c r="I234" s="9">
        <f t="shared" si="21"/>
        <v>62048.070000000007</v>
      </c>
      <c r="J234" s="11">
        <f t="shared" si="22"/>
        <v>4.6979865771812082E-2</v>
      </c>
      <c r="K234" t="str">
        <f t="shared" si="23"/>
        <v>March</v>
      </c>
      <c r="L234" t="str">
        <f t="shared" si="24"/>
        <v>2022</v>
      </c>
    </row>
    <row r="235" spans="1:12" x14ac:dyDescent="0.3">
      <c r="A235" t="s">
        <v>47</v>
      </c>
      <c r="B235" s="1">
        <v>44974</v>
      </c>
      <c r="C235" s="1">
        <v>44989</v>
      </c>
      <c r="D235" t="s">
        <v>10</v>
      </c>
      <c r="E235">
        <v>1583</v>
      </c>
      <c r="F235" s="8">
        <v>103.57</v>
      </c>
      <c r="G235">
        <v>164</v>
      </c>
      <c r="H235">
        <f t="shared" si="20"/>
        <v>15</v>
      </c>
      <c r="I235" s="9">
        <f t="shared" si="21"/>
        <v>163951.31</v>
      </c>
      <c r="J235" s="11">
        <f t="shared" si="22"/>
        <v>0.10360075805432722</v>
      </c>
      <c r="K235" t="str">
        <f t="shared" si="23"/>
        <v>February</v>
      </c>
      <c r="L235" t="str">
        <f t="shared" si="24"/>
        <v>2023</v>
      </c>
    </row>
    <row r="236" spans="1:12" x14ac:dyDescent="0.3">
      <c r="A236" t="s">
        <v>49</v>
      </c>
      <c r="B236" s="1">
        <v>44673</v>
      </c>
      <c r="C236" s="1">
        <v>44677</v>
      </c>
      <c r="D236" t="s">
        <v>10</v>
      </c>
      <c r="E236">
        <v>1459</v>
      </c>
      <c r="F236" s="8">
        <v>84.79</v>
      </c>
      <c r="G236">
        <v>47</v>
      </c>
      <c r="H236">
        <f t="shared" si="20"/>
        <v>4</v>
      </c>
      <c r="I236" s="9">
        <f t="shared" si="21"/>
        <v>123708.61000000002</v>
      </c>
      <c r="J236" s="11">
        <f t="shared" si="22"/>
        <v>3.2213845099383139E-2</v>
      </c>
      <c r="K236" t="str">
        <f t="shared" si="23"/>
        <v>April</v>
      </c>
      <c r="L236" t="str">
        <f t="shared" si="24"/>
        <v>2022</v>
      </c>
    </row>
    <row r="237" spans="1:12" x14ac:dyDescent="0.3">
      <c r="A237" t="s">
        <v>47</v>
      </c>
      <c r="B237" s="1">
        <v>44758</v>
      </c>
      <c r="C237" s="1">
        <v>44770</v>
      </c>
      <c r="D237" t="s">
        <v>11</v>
      </c>
      <c r="E237">
        <v>1186</v>
      </c>
      <c r="F237" s="8">
        <v>26.14</v>
      </c>
      <c r="G237">
        <v>112</v>
      </c>
      <c r="H237">
        <f t="shared" si="20"/>
        <v>12</v>
      </c>
      <c r="I237" s="9">
        <f t="shared" si="21"/>
        <v>31002.04</v>
      </c>
      <c r="J237" s="11">
        <f t="shared" si="22"/>
        <v>9.4435075885328831E-2</v>
      </c>
      <c r="K237" t="str">
        <f t="shared" si="23"/>
        <v>July</v>
      </c>
      <c r="L237" t="str">
        <f t="shared" si="24"/>
        <v>2022</v>
      </c>
    </row>
    <row r="238" spans="1:12" x14ac:dyDescent="0.3">
      <c r="A238" t="s">
        <v>49</v>
      </c>
      <c r="B238" s="1">
        <v>44756</v>
      </c>
      <c r="C238" s="1">
        <v>44765</v>
      </c>
      <c r="D238" t="s">
        <v>10</v>
      </c>
      <c r="E238">
        <v>1686</v>
      </c>
      <c r="F238" s="8">
        <v>72.28</v>
      </c>
      <c r="G238">
        <v>53</v>
      </c>
      <c r="H238">
        <f t="shared" si="20"/>
        <v>9</v>
      </c>
      <c r="I238" s="9">
        <f t="shared" si="21"/>
        <v>121864.08</v>
      </c>
      <c r="J238" s="11">
        <f t="shared" si="22"/>
        <v>3.1435349940688022E-2</v>
      </c>
      <c r="K238" t="str">
        <f t="shared" si="23"/>
        <v>July</v>
      </c>
      <c r="L238" t="str">
        <f t="shared" si="24"/>
        <v>2022</v>
      </c>
    </row>
    <row r="239" spans="1:12" x14ac:dyDescent="0.3">
      <c r="A239" t="s">
        <v>46</v>
      </c>
      <c r="B239" s="1">
        <v>45111</v>
      </c>
      <c r="C239" s="1">
        <v>45115</v>
      </c>
      <c r="D239" t="s">
        <v>10</v>
      </c>
      <c r="E239">
        <v>1698</v>
      </c>
      <c r="F239" s="8">
        <v>102.07</v>
      </c>
      <c r="G239">
        <v>28</v>
      </c>
      <c r="H239">
        <f t="shared" si="20"/>
        <v>4</v>
      </c>
      <c r="I239" s="9">
        <f t="shared" si="21"/>
        <v>173314.86</v>
      </c>
      <c r="J239" s="11">
        <f t="shared" si="22"/>
        <v>1.6489988221436984E-2</v>
      </c>
      <c r="K239" t="str">
        <f t="shared" si="23"/>
        <v>July</v>
      </c>
      <c r="L239" t="str">
        <f t="shared" si="24"/>
        <v>2023</v>
      </c>
    </row>
    <row r="240" spans="1:12" x14ac:dyDescent="0.3">
      <c r="A240" t="s">
        <v>46</v>
      </c>
      <c r="B240" s="1">
        <v>44705</v>
      </c>
      <c r="C240" s="1">
        <v>44708</v>
      </c>
      <c r="D240" t="s">
        <v>9</v>
      </c>
      <c r="E240">
        <v>1154</v>
      </c>
      <c r="F240" s="8">
        <v>62.67</v>
      </c>
      <c r="G240">
        <v>25</v>
      </c>
      <c r="H240">
        <f t="shared" si="20"/>
        <v>3</v>
      </c>
      <c r="I240" s="9">
        <f t="shared" si="21"/>
        <v>72321.180000000008</v>
      </c>
      <c r="J240" s="11">
        <f t="shared" si="22"/>
        <v>2.1663778162911613E-2</v>
      </c>
      <c r="K240" t="str">
        <f t="shared" si="23"/>
        <v>May</v>
      </c>
      <c r="L240" t="str">
        <f t="shared" si="24"/>
        <v>2022</v>
      </c>
    </row>
    <row r="241" spans="1:12" x14ac:dyDescent="0.3">
      <c r="A241" t="s">
        <v>46</v>
      </c>
      <c r="B241" s="1">
        <v>44994</v>
      </c>
      <c r="C241" s="1">
        <v>45014</v>
      </c>
      <c r="D241" t="s">
        <v>11</v>
      </c>
      <c r="E241">
        <v>748</v>
      </c>
      <c r="F241" s="8">
        <v>37.659999999999997</v>
      </c>
      <c r="G241">
        <v>0</v>
      </c>
      <c r="H241">
        <f t="shared" si="20"/>
        <v>20</v>
      </c>
      <c r="I241" s="9">
        <f t="shared" si="21"/>
        <v>28169.679999999997</v>
      </c>
      <c r="J241" s="11">
        <f t="shared" si="22"/>
        <v>0</v>
      </c>
      <c r="K241" t="str">
        <f t="shared" si="23"/>
        <v>March</v>
      </c>
      <c r="L241" t="str">
        <f t="shared" si="24"/>
        <v>2023</v>
      </c>
    </row>
    <row r="242" spans="1:12" x14ac:dyDescent="0.3">
      <c r="A242" t="s">
        <v>46</v>
      </c>
      <c r="B242" s="1">
        <v>44847</v>
      </c>
      <c r="C242" s="1">
        <v>44858</v>
      </c>
      <c r="D242" t="s">
        <v>11</v>
      </c>
      <c r="E242">
        <v>51</v>
      </c>
      <c r="F242" s="8">
        <v>28.04</v>
      </c>
      <c r="G242">
        <v>0</v>
      </c>
      <c r="H242">
        <f t="shared" si="20"/>
        <v>11</v>
      </c>
      <c r="I242" s="9">
        <f t="shared" si="21"/>
        <v>1430.04</v>
      </c>
      <c r="J242" s="11">
        <f t="shared" si="22"/>
        <v>0</v>
      </c>
      <c r="K242" t="str">
        <f t="shared" si="23"/>
        <v>October</v>
      </c>
      <c r="L242" t="str">
        <f t="shared" si="24"/>
        <v>2022</v>
      </c>
    </row>
    <row r="243" spans="1:12" x14ac:dyDescent="0.3">
      <c r="A243" t="s">
        <v>48</v>
      </c>
      <c r="B243" s="1">
        <v>45035</v>
      </c>
      <c r="C243" s="1">
        <v>45040</v>
      </c>
      <c r="D243" t="s">
        <v>9</v>
      </c>
      <c r="E243">
        <v>691</v>
      </c>
      <c r="F243" s="8">
        <v>42.07</v>
      </c>
      <c r="G243">
        <v>106</v>
      </c>
      <c r="H243">
        <f t="shared" si="20"/>
        <v>5</v>
      </c>
      <c r="I243" s="9">
        <f t="shared" si="21"/>
        <v>29070.37</v>
      </c>
      <c r="J243" s="11">
        <f t="shared" si="22"/>
        <v>0.15340086830680175</v>
      </c>
      <c r="K243" t="str">
        <f t="shared" si="23"/>
        <v>April</v>
      </c>
      <c r="L243" t="str">
        <f t="shared" si="24"/>
        <v>2023</v>
      </c>
    </row>
    <row r="244" spans="1:12" x14ac:dyDescent="0.3">
      <c r="A244" t="s">
        <v>47</v>
      </c>
      <c r="B244" s="1">
        <v>44817</v>
      </c>
      <c r="C244" s="1">
        <v>44824</v>
      </c>
      <c r="D244" t="s">
        <v>9</v>
      </c>
      <c r="E244">
        <v>269</v>
      </c>
      <c r="F244" s="8">
        <v>50.22</v>
      </c>
      <c r="G244">
        <v>32</v>
      </c>
      <c r="H244">
        <f t="shared" si="20"/>
        <v>7</v>
      </c>
      <c r="I244" s="9">
        <f t="shared" si="21"/>
        <v>13509.18</v>
      </c>
      <c r="J244" s="11">
        <f t="shared" si="22"/>
        <v>0.11895910780669144</v>
      </c>
      <c r="K244" t="str">
        <f t="shared" si="23"/>
        <v>September</v>
      </c>
      <c r="L244" t="str">
        <f t="shared" si="24"/>
        <v>2022</v>
      </c>
    </row>
    <row r="245" spans="1:12" x14ac:dyDescent="0.3">
      <c r="A245" t="s">
        <v>47</v>
      </c>
      <c r="B245" s="1">
        <v>44639</v>
      </c>
      <c r="C245" s="1">
        <v>44657</v>
      </c>
      <c r="D245" t="s">
        <v>13</v>
      </c>
      <c r="E245">
        <v>1639</v>
      </c>
      <c r="F245" s="8">
        <v>56.24</v>
      </c>
      <c r="G245">
        <v>147</v>
      </c>
      <c r="H245">
        <f t="shared" si="20"/>
        <v>18</v>
      </c>
      <c r="I245" s="9">
        <f t="shared" si="21"/>
        <v>92177.36</v>
      </c>
      <c r="J245" s="11">
        <f t="shared" si="22"/>
        <v>8.9688834655277605E-2</v>
      </c>
      <c r="K245" t="str">
        <f t="shared" si="23"/>
        <v>March</v>
      </c>
      <c r="L245" t="str">
        <f t="shared" si="24"/>
        <v>2022</v>
      </c>
    </row>
    <row r="246" spans="1:12" x14ac:dyDescent="0.3">
      <c r="A246" t="s">
        <v>46</v>
      </c>
      <c r="B246" s="1">
        <v>45015</v>
      </c>
      <c r="C246" s="1">
        <v>45022</v>
      </c>
      <c r="D246" t="s">
        <v>12</v>
      </c>
      <c r="E246">
        <v>904</v>
      </c>
      <c r="F246" s="8">
        <v>34.04</v>
      </c>
      <c r="G246">
        <v>26</v>
      </c>
      <c r="H246">
        <f t="shared" si="20"/>
        <v>7</v>
      </c>
      <c r="I246" s="9">
        <f t="shared" si="21"/>
        <v>30772.16</v>
      </c>
      <c r="J246" s="11">
        <f t="shared" si="22"/>
        <v>2.8761061946902654E-2</v>
      </c>
      <c r="K246" t="str">
        <f t="shared" si="23"/>
        <v>March</v>
      </c>
      <c r="L246" t="str">
        <f t="shared" si="24"/>
        <v>2023</v>
      </c>
    </row>
    <row r="247" spans="1:12" x14ac:dyDescent="0.3">
      <c r="A247" t="s">
        <v>47</v>
      </c>
      <c r="B247" s="1">
        <v>45125</v>
      </c>
      <c r="C247" s="1">
        <v>45133</v>
      </c>
      <c r="D247" t="s">
        <v>9</v>
      </c>
      <c r="E247">
        <v>1809</v>
      </c>
      <c r="F247" s="8">
        <v>22.17</v>
      </c>
      <c r="G247">
        <v>0</v>
      </c>
      <c r="H247">
        <f t="shared" si="20"/>
        <v>8</v>
      </c>
      <c r="I247" s="9">
        <f t="shared" si="21"/>
        <v>40105.530000000006</v>
      </c>
      <c r="J247" s="11">
        <f t="shared" si="22"/>
        <v>0</v>
      </c>
      <c r="K247" t="str">
        <f t="shared" si="23"/>
        <v>July</v>
      </c>
      <c r="L247" t="str">
        <f t="shared" si="24"/>
        <v>2023</v>
      </c>
    </row>
    <row r="248" spans="1:12" x14ac:dyDescent="0.3">
      <c r="A248" t="s">
        <v>46</v>
      </c>
      <c r="B248" s="1">
        <v>44662</v>
      </c>
      <c r="C248" s="1">
        <v>44667</v>
      </c>
      <c r="D248" t="s">
        <v>11</v>
      </c>
      <c r="E248">
        <v>1298</v>
      </c>
      <c r="F248" s="8">
        <v>65.930000000000007</v>
      </c>
      <c r="G248">
        <v>0</v>
      </c>
      <c r="H248">
        <f t="shared" si="20"/>
        <v>5</v>
      </c>
      <c r="I248" s="9">
        <f t="shared" si="21"/>
        <v>85577.140000000014</v>
      </c>
      <c r="J248" s="11">
        <f t="shared" si="22"/>
        <v>0</v>
      </c>
      <c r="K248" t="str">
        <f t="shared" si="23"/>
        <v>April</v>
      </c>
      <c r="L248" t="str">
        <f t="shared" si="24"/>
        <v>2022</v>
      </c>
    </row>
    <row r="249" spans="1:12" x14ac:dyDescent="0.3">
      <c r="A249" t="s">
        <v>47</v>
      </c>
      <c r="B249" s="1">
        <v>44613</v>
      </c>
      <c r="C249" s="1">
        <v>44633</v>
      </c>
      <c r="D249" t="s">
        <v>11</v>
      </c>
      <c r="E249">
        <v>434</v>
      </c>
      <c r="F249" s="8">
        <v>36.159999999999997</v>
      </c>
      <c r="G249">
        <v>41</v>
      </c>
      <c r="H249">
        <f t="shared" si="20"/>
        <v>20</v>
      </c>
      <c r="I249" s="9">
        <f t="shared" si="21"/>
        <v>15693.439999999999</v>
      </c>
      <c r="J249" s="11">
        <f t="shared" si="22"/>
        <v>9.4470046082949302E-2</v>
      </c>
      <c r="K249" t="str">
        <f t="shared" si="23"/>
        <v>February</v>
      </c>
      <c r="L249" t="str">
        <f t="shared" si="24"/>
        <v>2022</v>
      </c>
    </row>
    <row r="250" spans="1:12" x14ac:dyDescent="0.3">
      <c r="A250" t="s">
        <v>49</v>
      </c>
      <c r="B250" s="1">
        <v>45229</v>
      </c>
      <c r="C250" s="1">
        <v>45234</v>
      </c>
      <c r="D250" t="s">
        <v>13</v>
      </c>
      <c r="E250">
        <v>1476</v>
      </c>
      <c r="F250" s="8">
        <v>68.849999999999994</v>
      </c>
      <c r="G250">
        <v>43</v>
      </c>
      <c r="H250">
        <f t="shared" si="20"/>
        <v>5</v>
      </c>
      <c r="I250" s="9">
        <f t="shared" si="21"/>
        <v>101622.59999999999</v>
      </c>
      <c r="J250" s="11">
        <f t="shared" si="22"/>
        <v>2.9132791327913278E-2</v>
      </c>
      <c r="K250" t="str">
        <f t="shared" si="23"/>
        <v>October</v>
      </c>
      <c r="L250" t="str">
        <f t="shared" si="24"/>
        <v>2023</v>
      </c>
    </row>
    <row r="251" spans="1:12" x14ac:dyDescent="0.3">
      <c r="A251" t="s">
        <v>48</v>
      </c>
      <c r="B251" s="1">
        <v>44563</v>
      </c>
      <c r="C251" s="1">
        <v>44567</v>
      </c>
      <c r="D251" t="s">
        <v>11</v>
      </c>
      <c r="E251">
        <v>85</v>
      </c>
      <c r="F251" s="8">
        <v>22.54</v>
      </c>
      <c r="G251">
        <v>6</v>
      </c>
      <c r="H251">
        <f t="shared" si="20"/>
        <v>4</v>
      </c>
      <c r="I251" s="9">
        <f t="shared" si="21"/>
        <v>1915.8999999999999</v>
      </c>
      <c r="J251" s="11">
        <f t="shared" si="22"/>
        <v>7.0588235294117646E-2</v>
      </c>
      <c r="K251" t="str">
        <f t="shared" si="23"/>
        <v>January</v>
      </c>
      <c r="L251" t="str">
        <f t="shared" si="24"/>
        <v>2022</v>
      </c>
    </row>
    <row r="252" spans="1:12" x14ac:dyDescent="0.3">
      <c r="A252" t="s">
        <v>46</v>
      </c>
      <c r="B252" s="1">
        <v>44657</v>
      </c>
      <c r="C252" s="1">
        <v>44658</v>
      </c>
      <c r="D252" t="s">
        <v>13</v>
      </c>
      <c r="E252">
        <v>1126</v>
      </c>
      <c r="F252" s="8">
        <v>58.8</v>
      </c>
      <c r="G252">
        <v>0</v>
      </c>
      <c r="H252">
        <f t="shared" si="20"/>
        <v>1</v>
      </c>
      <c r="I252" s="9">
        <f t="shared" si="21"/>
        <v>66208.800000000003</v>
      </c>
      <c r="J252" s="11">
        <f t="shared" si="22"/>
        <v>0</v>
      </c>
      <c r="K252" t="str">
        <f t="shared" si="23"/>
        <v>April</v>
      </c>
      <c r="L252" t="str">
        <f t="shared" si="24"/>
        <v>2022</v>
      </c>
    </row>
    <row r="253" spans="1:12" x14ac:dyDescent="0.3">
      <c r="A253" t="s">
        <v>49</v>
      </c>
      <c r="B253" s="1">
        <v>44804</v>
      </c>
      <c r="C253" s="1">
        <v>44816</v>
      </c>
      <c r="D253" t="s">
        <v>11</v>
      </c>
      <c r="E253">
        <v>1757</v>
      </c>
      <c r="F253" s="8">
        <v>15.18</v>
      </c>
      <c r="G253">
        <v>63</v>
      </c>
      <c r="H253">
        <f t="shared" si="20"/>
        <v>12</v>
      </c>
      <c r="I253" s="9">
        <f t="shared" si="21"/>
        <v>26671.26</v>
      </c>
      <c r="J253" s="11">
        <f t="shared" si="22"/>
        <v>3.5856573705179286E-2</v>
      </c>
      <c r="K253" t="str">
        <f t="shared" si="23"/>
        <v>August</v>
      </c>
      <c r="L253" t="str">
        <f t="shared" si="24"/>
        <v>2022</v>
      </c>
    </row>
    <row r="254" spans="1:12" x14ac:dyDescent="0.3">
      <c r="A254" t="s">
        <v>49</v>
      </c>
      <c r="B254" s="1">
        <v>44732</v>
      </c>
      <c r="C254" s="1">
        <v>44740</v>
      </c>
      <c r="D254" t="s">
        <v>10</v>
      </c>
      <c r="E254">
        <v>779</v>
      </c>
      <c r="F254" s="8">
        <v>41.3</v>
      </c>
      <c r="G254">
        <v>20</v>
      </c>
      <c r="H254">
        <f t="shared" si="20"/>
        <v>8</v>
      </c>
      <c r="I254" s="9">
        <f t="shared" si="21"/>
        <v>32172.699999999997</v>
      </c>
      <c r="J254" s="11">
        <f t="shared" si="22"/>
        <v>2.5673940949935817E-2</v>
      </c>
      <c r="K254" t="str">
        <f t="shared" si="23"/>
        <v>June</v>
      </c>
      <c r="L254" t="str">
        <f t="shared" si="24"/>
        <v>2022</v>
      </c>
    </row>
    <row r="255" spans="1:12" x14ac:dyDescent="0.3">
      <c r="A255" t="s">
        <v>48</v>
      </c>
      <c r="B255" s="1">
        <v>44978</v>
      </c>
      <c r="C255" s="1">
        <v>44979</v>
      </c>
      <c r="D255" t="s">
        <v>9</v>
      </c>
      <c r="E255">
        <v>1745</v>
      </c>
      <c r="F255" s="8">
        <v>23.53</v>
      </c>
      <c r="G255">
        <v>282</v>
      </c>
      <c r="H255">
        <f t="shared" si="20"/>
        <v>1</v>
      </c>
      <c r="I255" s="9">
        <f t="shared" si="21"/>
        <v>41059.85</v>
      </c>
      <c r="J255" s="11">
        <f t="shared" si="22"/>
        <v>0.16160458452722062</v>
      </c>
      <c r="K255" t="str">
        <f t="shared" si="23"/>
        <v>February</v>
      </c>
      <c r="L255" t="str">
        <f t="shared" si="24"/>
        <v>2023</v>
      </c>
    </row>
    <row r="256" spans="1:12" x14ac:dyDescent="0.3">
      <c r="A256" t="s">
        <v>48</v>
      </c>
      <c r="B256" s="1">
        <v>45059</v>
      </c>
      <c r="C256" s="1">
        <v>45061</v>
      </c>
      <c r="D256" t="s">
        <v>12</v>
      </c>
      <c r="E256">
        <v>1783</v>
      </c>
      <c r="F256" s="8">
        <v>16.96</v>
      </c>
      <c r="G256">
        <v>295</v>
      </c>
      <c r="H256">
        <f t="shared" si="20"/>
        <v>2</v>
      </c>
      <c r="I256" s="9">
        <f t="shared" si="21"/>
        <v>30239.68</v>
      </c>
      <c r="J256" s="11">
        <f t="shared" si="22"/>
        <v>0.16545148625911385</v>
      </c>
      <c r="K256" t="str">
        <f t="shared" si="23"/>
        <v>May</v>
      </c>
      <c r="L256" t="str">
        <f t="shared" si="24"/>
        <v>2023</v>
      </c>
    </row>
    <row r="257" spans="1:12" x14ac:dyDescent="0.3">
      <c r="A257" t="s">
        <v>46</v>
      </c>
      <c r="B257" s="1">
        <v>45054</v>
      </c>
      <c r="C257" s="1">
        <v>45068</v>
      </c>
      <c r="D257" t="s">
        <v>9</v>
      </c>
      <c r="E257">
        <v>1489</v>
      </c>
      <c r="F257" s="8">
        <v>107.02</v>
      </c>
      <c r="G257">
        <v>0</v>
      </c>
      <c r="H257">
        <f t="shared" si="20"/>
        <v>14</v>
      </c>
      <c r="I257" s="9">
        <f t="shared" si="21"/>
        <v>159352.78</v>
      </c>
      <c r="J257" s="11">
        <f t="shared" si="22"/>
        <v>0</v>
      </c>
      <c r="K257" t="str">
        <f t="shared" si="23"/>
        <v>May</v>
      </c>
      <c r="L257" t="str">
        <f t="shared" si="24"/>
        <v>2023</v>
      </c>
    </row>
    <row r="258" spans="1:12" x14ac:dyDescent="0.3">
      <c r="A258" t="s">
        <v>46</v>
      </c>
      <c r="B258" s="1">
        <v>44780</v>
      </c>
      <c r="C258" s="1">
        <v>44783</v>
      </c>
      <c r="D258" t="s">
        <v>9</v>
      </c>
      <c r="E258">
        <v>296</v>
      </c>
      <c r="F258" s="8">
        <v>40.380000000000003</v>
      </c>
      <c r="G258">
        <v>0</v>
      </c>
      <c r="H258">
        <f t="shared" si="20"/>
        <v>3</v>
      </c>
      <c r="I258" s="9">
        <f t="shared" si="21"/>
        <v>11952.480000000001</v>
      </c>
      <c r="J258" s="11">
        <f t="shared" si="22"/>
        <v>0</v>
      </c>
      <c r="K258" t="str">
        <f t="shared" si="23"/>
        <v>August</v>
      </c>
      <c r="L258" t="str">
        <f t="shared" si="24"/>
        <v>2022</v>
      </c>
    </row>
    <row r="259" spans="1:12" x14ac:dyDescent="0.3">
      <c r="A259" t="s">
        <v>49</v>
      </c>
      <c r="B259" s="1">
        <v>44972</v>
      </c>
      <c r="C259" s="1">
        <v>44984</v>
      </c>
      <c r="D259" t="s">
        <v>10</v>
      </c>
      <c r="E259">
        <v>885</v>
      </c>
      <c r="F259" s="8">
        <v>88.28</v>
      </c>
      <c r="G259">
        <v>31</v>
      </c>
      <c r="H259">
        <f t="shared" si="20"/>
        <v>12</v>
      </c>
      <c r="I259" s="9">
        <f t="shared" si="21"/>
        <v>78127.8</v>
      </c>
      <c r="J259" s="11">
        <f t="shared" si="22"/>
        <v>3.5028248587570622E-2</v>
      </c>
      <c r="K259" t="str">
        <f t="shared" si="23"/>
        <v>February</v>
      </c>
      <c r="L259" t="str">
        <f t="shared" si="24"/>
        <v>2023</v>
      </c>
    </row>
    <row r="260" spans="1:12" x14ac:dyDescent="0.3">
      <c r="A260" t="s">
        <v>49</v>
      </c>
      <c r="B260" s="1">
        <v>44622</v>
      </c>
      <c r="C260" s="1">
        <v>44626</v>
      </c>
      <c r="D260" t="s">
        <v>12</v>
      </c>
      <c r="E260">
        <v>1512</v>
      </c>
      <c r="F260" s="8">
        <v>33.25</v>
      </c>
      <c r="G260">
        <v>53</v>
      </c>
      <c r="H260">
        <f t="shared" ref="H260:H323" si="25" xml:space="preserve"> C260-B260</f>
        <v>4</v>
      </c>
      <c r="I260" s="9">
        <f t="shared" ref="I260:I323" si="26">F260*E260</f>
        <v>50274</v>
      </c>
      <c r="J260" s="11">
        <f t="shared" ref="J260:J323" si="27">(G260/E260)</f>
        <v>3.5052910052910051E-2</v>
      </c>
      <c r="K260" t="str">
        <f t="shared" ref="K260:K323" si="28">TEXT(B260,"mmmm")</f>
        <v>March</v>
      </c>
      <c r="L260" t="str">
        <f t="shared" ref="L260:L323" si="29">TEXT(B260,"yyyy")</f>
        <v>2022</v>
      </c>
    </row>
    <row r="261" spans="1:12" x14ac:dyDescent="0.3">
      <c r="A261" t="s">
        <v>48</v>
      </c>
      <c r="B261" s="1">
        <v>44730</v>
      </c>
      <c r="C261" s="1">
        <v>44738</v>
      </c>
      <c r="D261" t="s">
        <v>9</v>
      </c>
      <c r="E261">
        <v>252</v>
      </c>
      <c r="F261" s="8">
        <v>73.12</v>
      </c>
      <c r="G261">
        <v>0</v>
      </c>
      <c r="H261">
        <f t="shared" si="25"/>
        <v>8</v>
      </c>
      <c r="I261" s="9">
        <f t="shared" si="26"/>
        <v>18426.240000000002</v>
      </c>
      <c r="J261" s="11">
        <f t="shared" si="27"/>
        <v>0</v>
      </c>
      <c r="K261" t="str">
        <f t="shared" si="28"/>
        <v>June</v>
      </c>
      <c r="L261" t="str">
        <f t="shared" si="29"/>
        <v>2022</v>
      </c>
    </row>
    <row r="262" spans="1:12" x14ac:dyDescent="0.3">
      <c r="A262" t="s">
        <v>48</v>
      </c>
      <c r="B262" s="1">
        <v>45292</v>
      </c>
      <c r="C262" s="1">
        <v>45295</v>
      </c>
      <c r="D262" t="s">
        <v>13</v>
      </c>
      <c r="E262">
        <v>1327</v>
      </c>
      <c r="F262" s="8">
        <v>59.57</v>
      </c>
      <c r="G262">
        <v>169</v>
      </c>
      <c r="H262">
        <f t="shared" si="25"/>
        <v>3</v>
      </c>
      <c r="I262" s="9">
        <f t="shared" si="26"/>
        <v>79049.39</v>
      </c>
      <c r="J262" s="11">
        <f t="shared" si="27"/>
        <v>0.12735493594574226</v>
      </c>
      <c r="K262" t="str">
        <f t="shared" si="28"/>
        <v>January</v>
      </c>
      <c r="L262" t="str">
        <f t="shared" si="29"/>
        <v>2024</v>
      </c>
    </row>
    <row r="263" spans="1:12" x14ac:dyDescent="0.3">
      <c r="A263" t="s">
        <v>49</v>
      </c>
      <c r="B263" s="1">
        <v>44961</v>
      </c>
      <c r="C263" s="1">
        <v>44962</v>
      </c>
      <c r="D263" t="s">
        <v>11</v>
      </c>
      <c r="E263">
        <v>450</v>
      </c>
      <c r="F263" s="8">
        <v>55.85</v>
      </c>
      <c r="G263">
        <v>9</v>
      </c>
      <c r="H263">
        <f t="shared" si="25"/>
        <v>1</v>
      </c>
      <c r="I263" s="9">
        <f t="shared" si="26"/>
        <v>25132.5</v>
      </c>
      <c r="J263" s="11">
        <f t="shared" si="27"/>
        <v>0.02</v>
      </c>
      <c r="K263" t="str">
        <f t="shared" si="28"/>
        <v>February</v>
      </c>
      <c r="L263" t="str">
        <f t="shared" si="29"/>
        <v>2023</v>
      </c>
    </row>
    <row r="264" spans="1:12" x14ac:dyDescent="0.3">
      <c r="A264" t="s">
        <v>50</v>
      </c>
      <c r="B264" s="1">
        <v>44833</v>
      </c>
      <c r="C264" s="1">
        <v>44849</v>
      </c>
      <c r="D264" t="s">
        <v>13</v>
      </c>
      <c r="E264">
        <v>816</v>
      </c>
      <c r="F264" s="8">
        <v>48.95</v>
      </c>
      <c r="G264">
        <v>45</v>
      </c>
      <c r="H264">
        <f t="shared" si="25"/>
        <v>16</v>
      </c>
      <c r="I264" s="9">
        <f t="shared" si="26"/>
        <v>39943.200000000004</v>
      </c>
      <c r="J264" s="11">
        <f t="shared" si="27"/>
        <v>5.514705882352941E-2</v>
      </c>
      <c r="K264" t="str">
        <f t="shared" si="28"/>
        <v>September</v>
      </c>
      <c r="L264" t="str">
        <f t="shared" si="29"/>
        <v>2022</v>
      </c>
    </row>
    <row r="265" spans="1:12" x14ac:dyDescent="0.3">
      <c r="A265" t="s">
        <v>49</v>
      </c>
      <c r="B265" s="1">
        <v>45027</v>
      </c>
      <c r="C265" s="1">
        <v>45041</v>
      </c>
      <c r="D265" t="s">
        <v>11</v>
      </c>
      <c r="E265">
        <v>343</v>
      </c>
      <c r="F265" s="8">
        <v>44.5</v>
      </c>
      <c r="G265">
        <v>7</v>
      </c>
      <c r="H265">
        <f t="shared" si="25"/>
        <v>14</v>
      </c>
      <c r="I265" s="9">
        <f t="shared" si="26"/>
        <v>15263.5</v>
      </c>
      <c r="J265" s="11">
        <f t="shared" si="27"/>
        <v>2.0408163265306121E-2</v>
      </c>
      <c r="K265" t="str">
        <f t="shared" si="28"/>
        <v>April</v>
      </c>
      <c r="L265" t="str">
        <f t="shared" si="29"/>
        <v>2023</v>
      </c>
    </row>
    <row r="266" spans="1:12" x14ac:dyDescent="0.3">
      <c r="A266" t="s">
        <v>50</v>
      </c>
      <c r="B266" s="1">
        <v>44854</v>
      </c>
      <c r="C266" s="1">
        <v>44870</v>
      </c>
      <c r="D266" t="s">
        <v>10</v>
      </c>
      <c r="E266">
        <v>329</v>
      </c>
      <c r="F266" s="8">
        <v>97.87</v>
      </c>
      <c r="G266">
        <v>21</v>
      </c>
      <c r="H266">
        <f t="shared" si="25"/>
        <v>16</v>
      </c>
      <c r="I266" s="9">
        <f t="shared" si="26"/>
        <v>32199.230000000003</v>
      </c>
      <c r="J266" s="11">
        <f t="shared" si="27"/>
        <v>6.3829787234042548E-2</v>
      </c>
      <c r="K266" t="str">
        <f t="shared" si="28"/>
        <v>October</v>
      </c>
      <c r="L266" t="str">
        <f t="shared" si="29"/>
        <v>2022</v>
      </c>
    </row>
    <row r="267" spans="1:12" x14ac:dyDescent="0.3">
      <c r="A267" t="s">
        <v>46</v>
      </c>
      <c r="B267" s="1">
        <v>44995</v>
      </c>
      <c r="C267" s="1">
        <v>45010</v>
      </c>
      <c r="D267" t="s">
        <v>13</v>
      </c>
      <c r="E267">
        <v>1910</v>
      </c>
      <c r="F267" s="8">
        <v>90.69</v>
      </c>
      <c r="G267">
        <v>0</v>
      </c>
      <c r="H267">
        <f t="shared" si="25"/>
        <v>15</v>
      </c>
      <c r="I267" s="9">
        <f t="shared" si="26"/>
        <v>173217.9</v>
      </c>
      <c r="J267" s="11">
        <f t="shared" si="27"/>
        <v>0</v>
      </c>
      <c r="K267" t="str">
        <f t="shared" si="28"/>
        <v>March</v>
      </c>
      <c r="L267" t="str">
        <f t="shared" si="29"/>
        <v>2023</v>
      </c>
    </row>
    <row r="268" spans="1:12" x14ac:dyDescent="0.3">
      <c r="A268" t="s">
        <v>49</v>
      </c>
      <c r="B268" s="1">
        <v>45275</v>
      </c>
      <c r="C268" s="1">
        <v>45278</v>
      </c>
      <c r="D268" t="s">
        <v>10</v>
      </c>
      <c r="E268">
        <v>933</v>
      </c>
      <c r="F268" s="8">
        <v>107.99</v>
      </c>
      <c r="G268">
        <v>29</v>
      </c>
      <c r="H268">
        <f t="shared" si="25"/>
        <v>3</v>
      </c>
      <c r="I268" s="9">
        <f t="shared" si="26"/>
        <v>100754.67</v>
      </c>
      <c r="J268" s="11">
        <f t="shared" si="27"/>
        <v>3.1082529474812434E-2</v>
      </c>
      <c r="K268" t="str">
        <f t="shared" si="28"/>
        <v>December</v>
      </c>
      <c r="L268" t="str">
        <f t="shared" si="29"/>
        <v>2023</v>
      </c>
    </row>
    <row r="269" spans="1:12" x14ac:dyDescent="0.3">
      <c r="A269" t="s">
        <v>48</v>
      </c>
      <c r="B269" s="1">
        <v>45131</v>
      </c>
      <c r="C269" s="1">
        <v>45136</v>
      </c>
      <c r="D269" t="s">
        <v>12</v>
      </c>
      <c r="E269">
        <v>1683</v>
      </c>
      <c r="F269" s="8">
        <v>23.09</v>
      </c>
      <c r="G269">
        <v>253</v>
      </c>
      <c r="H269">
        <f t="shared" si="25"/>
        <v>5</v>
      </c>
      <c r="I269" s="9">
        <f t="shared" si="26"/>
        <v>38860.47</v>
      </c>
      <c r="J269" s="11">
        <f t="shared" si="27"/>
        <v>0.15032679738562091</v>
      </c>
      <c r="K269" t="str">
        <f t="shared" si="28"/>
        <v>July</v>
      </c>
      <c r="L269" t="str">
        <f t="shared" si="29"/>
        <v>2023</v>
      </c>
    </row>
    <row r="270" spans="1:12" x14ac:dyDescent="0.3">
      <c r="A270" t="s">
        <v>47</v>
      </c>
      <c r="B270" s="1">
        <v>45239</v>
      </c>
      <c r="C270" s="1">
        <v>45248</v>
      </c>
      <c r="D270" t="s">
        <v>11</v>
      </c>
      <c r="E270">
        <v>247</v>
      </c>
      <c r="F270" s="8">
        <v>84.11</v>
      </c>
      <c r="G270">
        <v>0</v>
      </c>
      <c r="H270">
        <f t="shared" si="25"/>
        <v>9</v>
      </c>
      <c r="I270" s="9">
        <f t="shared" si="26"/>
        <v>20775.169999999998</v>
      </c>
      <c r="J270" s="11">
        <f t="shared" si="27"/>
        <v>0</v>
      </c>
      <c r="K270" t="str">
        <f t="shared" si="28"/>
        <v>November</v>
      </c>
      <c r="L270" t="str">
        <f t="shared" si="29"/>
        <v>2023</v>
      </c>
    </row>
    <row r="271" spans="1:12" x14ac:dyDescent="0.3">
      <c r="A271" t="s">
        <v>46</v>
      </c>
      <c r="B271" s="1">
        <v>45060</v>
      </c>
      <c r="C271" s="1">
        <v>45079</v>
      </c>
      <c r="D271" t="s">
        <v>10</v>
      </c>
      <c r="E271">
        <v>1031</v>
      </c>
      <c r="F271" s="8">
        <v>102.01</v>
      </c>
      <c r="G271">
        <v>0</v>
      </c>
      <c r="H271">
        <f t="shared" si="25"/>
        <v>19</v>
      </c>
      <c r="I271" s="9">
        <f t="shared" si="26"/>
        <v>105172.31000000001</v>
      </c>
      <c r="J271" s="11">
        <f t="shared" si="27"/>
        <v>0</v>
      </c>
      <c r="K271" t="str">
        <f t="shared" si="28"/>
        <v>May</v>
      </c>
      <c r="L271" t="str">
        <f t="shared" si="29"/>
        <v>2023</v>
      </c>
    </row>
    <row r="272" spans="1:12" x14ac:dyDescent="0.3">
      <c r="A272" t="s">
        <v>46</v>
      </c>
      <c r="B272" s="1">
        <v>44720</v>
      </c>
      <c r="C272" s="1">
        <v>44731</v>
      </c>
      <c r="D272" t="s">
        <v>11</v>
      </c>
      <c r="E272">
        <v>1980</v>
      </c>
      <c r="F272" s="8">
        <v>26.97</v>
      </c>
      <c r="G272">
        <v>41</v>
      </c>
      <c r="H272">
        <f t="shared" si="25"/>
        <v>11</v>
      </c>
      <c r="I272" s="9">
        <f t="shared" si="26"/>
        <v>53400.6</v>
      </c>
      <c r="J272" s="11">
        <f t="shared" si="27"/>
        <v>2.0707070707070709E-2</v>
      </c>
      <c r="K272" t="str">
        <f t="shared" si="28"/>
        <v>June</v>
      </c>
      <c r="L272" t="str">
        <f t="shared" si="29"/>
        <v>2022</v>
      </c>
    </row>
    <row r="273" spans="1:12" x14ac:dyDescent="0.3">
      <c r="A273" t="s">
        <v>49</v>
      </c>
      <c r="B273" s="1">
        <v>44756</v>
      </c>
      <c r="C273" s="1">
        <v>44776</v>
      </c>
      <c r="D273" t="s">
        <v>12</v>
      </c>
      <c r="E273">
        <v>1584</v>
      </c>
      <c r="F273" s="8">
        <v>16.46</v>
      </c>
      <c r="G273">
        <v>57</v>
      </c>
      <c r="H273">
        <f t="shared" si="25"/>
        <v>20</v>
      </c>
      <c r="I273" s="9">
        <f t="shared" si="26"/>
        <v>26072.640000000003</v>
      </c>
      <c r="J273" s="11">
        <f t="shared" si="27"/>
        <v>3.5984848484848488E-2</v>
      </c>
      <c r="K273" t="str">
        <f t="shared" si="28"/>
        <v>July</v>
      </c>
      <c r="L273" t="str">
        <f t="shared" si="29"/>
        <v>2022</v>
      </c>
    </row>
    <row r="274" spans="1:12" x14ac:dyDescent="0.3">
      <c r="A274" t="s">
        <v>47</v>
      </c>
      <c r="B274" s="1">
        <v>44865</v>
      </c>
      <c r="C274" s="1">
        <v>44880</v>
      </c>
      <c r="D274" t="s">
        <v>9</v>
      </c>
      <c r="E274">
        <v>801</v>
      </c>
      <c r="F274" s="8">
        <v>80.150000000000006</v>
      </c>
      <c r="G274">
        <v>0</v>
      </c>
      <c r="H274">
        <f t="shared" si="25"/>
        <v>15</v>
      </c>
      <c r="I274" s="9">
        <f t="shared" si="26"/>
        <v>64200.15</v>
      </c>
      <c r="J274" s="11">
        <f t="shared" si="27"/>
        <v>0</v>
      </c>
      <c r="K274" t="str">
        <f t="shared" si="28"/>
        <v>October</v>
      </c>
      <c r="L274" t="str">
        <f t="shared" si="29"/>
        <v>2022</v>
      </c>
    </row>
    <row r="275" spans="1:12" x14ac:dyDescent="0.3">
      <c r="A275" t="s">
        <v>47</v>
      </c>
      <c r="B275" s="1">
        <v>44784</v>
      </c>
      <c r="C275" s="1">
        <v>44798</v>
      </c>
      <c r="D275" t="s">
        <v>11</v>
      </c>
      <c r="E275">
        <v>193</v>
      </c>
      <c r="F275" s="8">
        <v>63.86</v>
      </c>
      <c r="G275">
        <v>0</v>
      </c>
      <c r="H275">
        <f t="shared" si="25"/>
        <v>14</v>
      </c>
      <c r="I275" s="9">
        <f t="shared" si="26"/>
        <v>12324.98</v>
      </c>
      <c r="J275" s="11">
        <f t="shared" si="27"/>
        <v>0</v>
      </c>
      <c r="K275" t="str">
        <f t="shared" si="28"/>
        <v>August</v>
      </c>
      <c r="L275" t="str">
        <f t="shared" si="29"/>
        <v>2022</v>
      </c>
    </row>
    <row r="276" spans="1:12" x14ac:dyDescent="0.3">
      <c r="A276" t="s">
        <v>47</v>
      </c>
      <c r="B276" s="1">
        <v>44621</v>
      </c>
      <c r="C276" s="1">
        <v>44625</v>
      </c>
      <c r="D276" t="s">
        <v>12</v>
      </c>
      <c r="E276">
        <v>658</v>
      </c>
      <c r="F276" s="8">
        <v>86.62</v>
      </c>
      <c r="G276">
        <v>72</v>
      </c>
      <c r="H276">
        <f t="shared" si="25"/>
        <v>4</v>
      </c>
      <c r="I276" s="9">
        <f t="shared" si="26"/>
        <v>56995.960000000006</v>
      </c>
      <c r="J276" s="11">
        <f t="shared" si="27"/>
        <v>0.10942249240121581</v>
      </c>
      <c r="K276" t="str">
        <f t="shared" si="28"/>
        <v>March</v>
      </c>
      <c r="L276" t="str">
        <f t="shared" si="29"/>
        <v>2022</v>
      </c>
    </row>
    <row r="277" spans="1:12" x14ac:dyDescent="0.3">
      <c r="A277" t="s">
        <v>49</v>
      </c>
      <c r="B277" s="1">
        <v>45155</v>
      </c>
      <c r="C277" s="1">
        <v>45173</v>
      </c>
      <c r="D277" t="s">
        <v>13</v>
      </c>
      <c r="E277">
        <v>1274</v>
      </c>
      <c r="F277" s="8">
        <v>24.72</v>
      </c>
      <c r="G277">
        <v>37</v>
      </c>
      <c r="H277">
        <f t="shared" si="25"/>
        <v>18</v>
      </c>
      <c r="I277" s="9">
        <f t="shared" si="26"/>
        <v>31493.279999999999</v>
      </c>
      <c r="J277" s="11">
        <f t="shared" si="27"/>
        <v>2.9042386185243328E-2</v>
      </c>
      <c r="K277" t="str">
        <f t="shared" si="28"/>
        <v>August</v>
      </c>
      <c r="L277" t="str">
        <f t="shared" si="29"/>
        <v>2023</v>
      </c>
    </row>
    <row r="278" spans="1:12" x14ac:dyDescent="0.3">
      <c r="A278" t="s">
        <v>49</v>
      </c>
      <c r="B278" s="1">
        <v>45117</v>
      </c>
      <c r="C278" s="1">
        <v>45124</v>
      </c>
      <c r="D278" t="s">
        <v>11</v>
      </c>
      <c r="E278">
        <v>1197</v>
      </c>
      <c r="F278" s="8">
        <v>88.92</v>
      </c>
      <c r="G278">
        <v>31</v>
      </c>
      <c r="H278">
        <f t="shared" si="25"/>
        <v>7</v>
      </c>
      <c r="I278" s="9">
        <f t="shared" si="26"/>
        <v>106437.24</v>
      </c>
      <c r="J278" s="11">
        <f t="shared" si="27"/>
        <v>2.5898078529657476E-2</v>
      </c>
      <c r="K278" t="str">
        <f t="shared" si="28"/>
        <v>July</v>
      </c>
      <c r="L278" t="str">
        <f t="shared" si="29"/>
        <v>2023</v>
      </c>
    </row>
    <row r="279" spans="1:12" x14ac:dyDescent="0.3">
      <c r="A279" t="s">
        <v>50</v>
      </c>
      <c r="B279" s="1">
        <v>44624</v>
      </c>
      <c r="C279" s="1">
        <v>44632</v>
      </c>
      <c r="D279" t="s">
        <v>13</v>
      </c>
      <c r="E279">
        <v>236</v>
      </c>
      <c r="F279" s="8">
        <v>28.43</v>
      </c>
      <c r="G279">
        <v>11</v>
      </c>
      <c r="H279">
        <f t="shared" si="25"/>
        <v>8</v>
      </c>
      <c r="I279" s="9">
        <f t="shared" si="26"/>
        <v>6709.48</v>
      </c>
      <c r="J279" s="11">
        <f t="shared" si="27"/>
        <v>4.6610169491525424E-2</v>
      </c>
      <c r="K279" t="str">
        <f t="shared" si="28"/>
        <v>March</v>
      </c>
      <c r="L279" t="str">
        <f t="shared" si="29"/>
        <v>2022</v>
      </c>
    </row>
    <row r="280" spans="1:12" x14ac:dyDescent="0.3">
      <c r="A280" t="s">
        <v>50</v>
      </c>
      <c r="B280" s="1">
        <v>44883</v>
      </c>
      <c r="C280" s="1">
        <v>44898</v>
      </c>
      <c r="D280" t="s">
        <v>12</v>
      </c>
      <c r="E280">
        <v>1399</v>
      </c>
      <c r="F280" s="8">
        <v>25.97</v>
      </c>
      <c r="G280">
        <v>62</v>
      </c>
      <c r="H280">
        <f t="shared" si="25"/>
        <v>15</v>
      </c>
      <c r="I280" s="9">
        <f t="shared" si="26"/>
        <v>36332.03</v>
      </c>
      <c r="J280" s="11">
        <f t="shared" si="27"/>
        <v>4.431736954967834E-2</v>
      </c>
      <c r="K280" t="str">
        <f t="shared" si="28"/>
        <v>November</v>
      </c>
      <c r="L280" t="str">
        <f t="shared" si="29"/>
        <v>2022</v>
      </c>
    </row>
    <row r="281" spans="1:12" x14ac:dyDescent="0.3">
      <c r="A281" t="s">
        <v>50</v>
      </c>
      <c r="B281" s="1">
        <v>44620</v>
      </c>
      <c r="C281" s="1">
        <v>44624</v>
      </c>
      <c r="D281" t="s">
        <v>13</v>
      </c>
      <c r="E281">
        <v>513</v>
      </c>
      <c r="F281" s="8">
        <v>24.91</v>
      </c>
      <c r="G281">
        <v>29</v>
      </c>
      <c r="H281">
        <f t="shared" si="25"/>
        <v>4</v>
      </c>
      <c r="I281" s="9">
        <f t="shared" si="26"/>
        <v>12778.83</v>
      </c>
      <c r="J281" s="11">
        <f t="shared" si="27"/>
        <v>5.6530214424951264E-2</v>
      </c>
      <c r="K281" t="str">
        <f t="shared" si="28"/>
        <v>February</v>
      </c>
      <c r="L281" t="str">
        <f t="shared" si="29"/>
        <v>2022</v>
      </c>
    </row>
    <row r="282" spans="1:12" x14ac:dyDescent="0.3">
      <c r="A282" t="s">
        <v>48</v>
      </c>
      <c r="B282" s="1">
        <v>44613</v>
      </c>
      <c r="C282" s="1">
        <v>44624</v>
      </c>
      <c r="D282" t="s">
        <v>10</v>
      </c>
      <c r="E282">
        <v>1422</v>
      </c>
      <c r="F282" s="8">
        <v>83.73</v>
      </c>
      <c r="G282">
        <v>198</v>
      </c>
      <c r="H282">
        <f t="shared" si="25"/>
        <v>11</v>
      </c>
      <c r="I282" s="9">
        <f t="shared" si="26"/>
        <v>119064.06000000001</v>
      </c>
      <c r="J282" s="11">
        <f t="shared" si="27"/>
        <v>0.13924050632911392</v>
      </c>
      <c r="K282" t="str">
        <f t="shared" si="28"/>
        <v>February</v>
      </c>
      <c r="L282" t="str">
        <f t="shared" si="29"/>
        <v>2022</v>
      </c>
    </row>
    <row r="283" spans="1:12" x14ac:dyDescent="0.3">
      <c r="A283" t="s">
        <v>46</v>
      </c>
      <c r="B283" s="1">
        <v>45160</v>
      </c>
      <c r="C283" s="1">
        <v>45172</v>
      </c>
      <c r="D283" t="s">
        <v>9</v>
      </c>
      <c r="E283">
        <v>1844</v>
      </c>
      <c r="F283" s="8">
        <v>76.510000000000005</v>
      </c>
      <c r="G283">
        <v>0</v>
      </c>
      <c r="H283">
        <f t="shared" si="25"/>
        <v>12</v>
      </c>
      <c r="I283" s="9">
        <f t="shared" si="26"/>
        <v>141084.44</v>
      </c>
      <c r="J283" s="11">
        <f t="shared" si="27"/>
        <v>0</v>
      </c>
      <c r="K283" t="str">
        <f t="shared" si="28"/>
        <v>August</v>
      </c>
      <c r="L283" t="str">
        <f t="shared" si="29"/>
        <v>2023</v>
      </c>
    </row>
    <row r="284" spans="1:12" x14ac:dyDescent="0.3">
      <c r="A284" t="s">
        <v>48</v>
      </c>
      <c r="B284" s="1">
        <v>45076</v>
      </c>
      <c r="C284" s="1">
        <v>45092</v>
      </c>
      <c r="D284" t="s">
        <v>10</v>
      </c>
      <c r="E284">
        <v>813</v>
      </c>
      <c r="F284" s="8">
        <v>45.68</v>
      </c>
      <c r="G284">
        <v>0</v>
      </c>
      <c r="H284">
        <f t="shared" si="25"/>
        <v>16</v>
      </c>
      <c r="I284" s="9">
        <f t="shared" si="26"/>
        <v>37137.839999999997</v>
      </c>
      <c r="J284" s="11">
        <f t="shared" si="27"/>
        <v>0</v>
      </c>
      <c r="K284" t="str">
        <f t="shared" si="28"/>
        <v>May</v>
      </c>
      <c r="L284" t="str">
        <f t="shared" si="29"/>
        <v>2023</v>
      </c>
    </row>
    <row r="285" spans="1:12" x14ac:dyDescent="0.3">
      <c r="A285" t="s">
        <v>48</v>
      </c>
      <c r="B285" s="1">
        <v>45105</v>
      </c>
      <c r="C285" s="1">
        <v>45108</v>
      </c>
      <c r="D285" t="s">
        <v>9</v>
      </c>
      <c r="E285">
        <v>1004</v>
      </c>
      <c r="F285" s="8">
        <v>96.51</v>
      </c>
      <c r="G285">
        <v>146</v>
      </c>
      <c r="H285">
        <f t="shared" si="25"/>
        <v>3</v>
      </c>
      <c r="I285" s="9">
        <f t="shared" si="26"/>
        <v>96896.040000000008</v>
      </c>
      <c r="J285" s="11">
        <f t="shared" si="27"/>
        <v>0.1454183266932271</v>
      </c>
      <c r="K285" t="str">
        <f t="shared" si="28"/>
        <v>June</v>
      </c>
      <c r="L285" t="str">
        <f t="shared" si="29"/>
        <v>2023</v>
      </c>
    </row>
    <row r="286" spans="1:12" x14ac:dyDescent="0.3">
      <c r="A286" t="s">
        <v>49</v>
      </c>
      <c r="B286" s="1">
        <v>44723</v>
      </c>
      <c r="C286" s="1">
        <v>44727</v>
      </c>
      <c r="D286" t="s">
        <v>12</v>
      </c>
      <c r="E286">
        <v>452</v>
      </c>
      <c r="F286" s="8">
        <v>46.45</v>
      </c>
      <c r="G286">
        <v>9</v>
      </c>
      <c r="H286">
        <f t="shared" si="25"/>
        <v>4</v>
      </c>
      <c r="I286" s="9">
        <f t="shared" si="26"/>
        <v>20995.4</v>
      </c>
      <c r="J286" s="11">
        <f t="shared" si="27"/>
        <v>1.9911504424778761E-2</v>
      </c>
      <c r="K286" t="str">
        <f t="shared" si="28"/>
        <v>June</v>
      </c>
      <c r="L286" t="str">
        <f t="shared" si="29"/>
        <v>2022</v>
      </c>
    </row>
    <row r="287" spans="1:12" x14ac:dyDescent="0.3">
      <c r="A287" t="s">
        <v>47</v>
      </c>
      <c r="B287" s="1">
        <v>44620</v>
      </c>
      <c r="C287" s="1">
        <v>44632</v>
      </c>
      <c r="D287" t="s">
        <v>12</v>
      </c>
      <c r="E287">
        <v>1419</v>
      </c>
      <c r="F287" s="8">
        <v>83.91</v>
      </c>
      <c r="G287">
        <v>137</v>
      </c>
      <c r="H287">
        <f t="shared" si="25"/>
        <v>12</v>
      </c>
      <c r="I287" s="9">
        <f t="shared" si="26"/>
        <v>119068.29</v>
      </c>
      <c r="J287" s="11">
        <f t="shared" si="27"/>
        <v>9.654686398872446E-2</v>
      </c>
      <c r="K287" t="str">
        <f t="shared" si="28"/>
        <v>February</v>
      </c>
      <c r="L287" t="str">
        <f t="shared" si="29"/>
        <v>2022</v>
      </c>
    </row>
    <row r="288" spans="1:12" x14ac:dyDescent="0.3">
      <c r="A288" t="s">
        <v>47</v>
      </c>
      <c r="B288" s="1">
        <v>45082</v>
      </c>
      <c r="C288" s="1">
        <v>45100</v>
      </c>
      <c r="D288" t="s">
        <v>11</v>
      </c>
      <c r="E288">
        <v>1584</v>
      </c>
      <c r="F288" s="8">
        <v>53.73</v>
      </c>
      <c r="G288">
        <v>167</v>
      </c>
      <c r="H288">
        <f t="shared" si="25"/>
        <v>18</v>
      </c>
      <c r="I288" s="9">
        <f t="shared" si="26"/>
        <v>85108.319999999992</v>
      </c>
      <c r="J288" s="11">
        <f t="shared" si="27"/>
        <v>0.10542929292929293</v>
      </c>
      <c r="K288" t="str">
        <f t="shared" si="28"/>
        <v>June</v>
      </c>
      <c r="L288" t="str">
        <f t="shared" si="29"/>
        <v>2023</v>
      </c>
    </row>
    <row r="289" spans="1:12" x14ac:dyDescent="0.3">
      <c r="A289" t="s">
        <v>50</v>
      </c>
      <c r="B289" s="1">
        <v>44644</v>
      </c>
      <c r="C289" s="1">
        <v>44662</v>
      </c>
      <c r="D289" t="s">
        <v>10</v>
      </c>
      <c r="E289">
        <v>196</v>
      </c>
      <c r="F289" s="8">
        <v>44.36</v>
      </c>
      <c r="G289">
        <v>6</v>
      </c>
      <c r="H289">
        <f t="shared" si="25"/>
        <v>18</v>
      </c>
      <c r="I289" s="9">
        <f t="shared" si="26"/>
        <v>8694.56</v>
      </c>
      <c r="J289" s="11">
        <f t="shared" si="27"/>
        <v>3.0612244897959183E-2</v>
      </c>
      <c r="K289" t="str">
        <f t="shared" si="28"/>
        <v>March</v>
      </c>
      <c r="L289" t="str">
        <f t="shared" si="29"/>
        <v>2022</v>
      </c>
    </row>
    <row r="290" spans="1:12" x14ac:dyDescent="0.3">
      <c r="A290" t="s">
        <v>46</v>
      </c>
      <c r="B290" s="1">
        <v>44752</v>
      </c>
      <c r="C290" s="1">
        <v>44756</v>
      </c>
      <c r="D290" t="s">
        <v>9</v>
      </c>
      <c r="E290">
        <v>1221</v>
      </c>
      <c r="F290" s="8">
        <v>53.19</v>
      </c>
      <c r="G290">
        <v>29</v>
      </c>
      <c r="H290">
        <f t="shared" si="25"/>
        <v>4</v>
      </c>
      <c r="I290" s="9">
        <f t="shared" si="26"/>
        <v>64944.99</v>
      </c>
      <c r="J290" s="11">
        <f t="shared" si="27"/>
        <v>2.375102375102375E-2</v>
      </c>
      <c r="K290" t="str">
        <f t="shared" si="28"/>
        <v>July</v>
      </c>
      <c r="L290" t="str">
        <f t="shared" si="29"/>
        <v>2022</v>
      </c>
    </row>
    <row r="291" spans="1:12" x14ac:dyDescent="0.3">
      <c r="A291" t="s">
        <v>46</v>
      </c>
      <c r="B291" s="1">
        <v>44632</v>
      </c>
      <c r="C291" s="1">
        <v>44646</v>
      </c>
      <c r="D291" t="s">
        <v>11</v>
      </c>
      <c r="E291">
        <v>913</v>
      </c>
      <c r="F291" s="8">
        <v>37.5</v>
      </c>
      <c r="G291">
        <v>0</v>
      </c>
      <c r="H291">
        <f t="shared" si="25"/>
        <v>14</v>
      </c>
      <c r="I291" s="9">
        <f t="shared" si="26"/>
        <v>34237.5</v>
      </c>
      <c r="J291" s="11">
        <f t="shared" si="27"/>
        <v>0</v>
      </c>
      <c r="K291" t="str">
        <f t="shared" si="28"/>
        <v>March</v>
      </c>
      <c r="L291" t="str">
        <f t="shared" si="29"/>
        <v>2022</v>
      </c>
    </row>
    <row r="292" spans="1:12" x14ac:dyDescent="0.3">
      <c r="A292" t="s">
        <v>46</v>
      </c>
      <c r="B292" s="1">
        <v>45171</v>
      </c>
      <c r="C292" s="1">
        <v>45173</v>
      </c>
      <c r="D292" t="s">
        <v>11</v>
      </c>
      <c r="E292">
        <v>1784</v>
      </c>
      <c r="F292" s="8">
        <v>85.01</v>
      </c>
      <c r="G292">
        <v>37</v>
      </c>
      <c r="H292">
        <f t="shared" si="25"/>
        <v>2</v>
      </c>
      <c r="I292" s="9">
        <f t="shared" si="26"/>
        <v>151657.84</v>
      </c>
      <c r="J292" s="11">
        <f t="shared" si="27"/>
        <v>2.0739910313901346E-2</v>
      </c>
      <c r="K292" t="str">
        <f t="shared" si="28"/>
        <v>September</v>
      </c>
      <c r="L292" t="str">
        <f t="shared" si="29"/>
        <v>2023</v>
      </c>
    </row>
    <row r="293" spans="1:12" x14ac:dyDescent="0.3">
      <c r="A293" t="s">
        <v>48</v>
      </c>
      <c r="B293" s="1">
        <v>45253</v>
      </c>
      <c r="C293" s="1">
        <v>45265</v>
      </c>
      <c r="D293" t="s">
        <v>13</v>
      </c>
      <c r="E293">
        <v>538</v>
      </c>
      <c r="F293" s="8">
        <v>34.299999999999997</v>
      </c>
      <c r="G293">
        <v>84</v>
      </c>
      <c r="H293">
        <f t="shared" si="25"/>
        <v>12</v>
      </c>
      <c r="I293" s="9">
        <f t="shared" si="26"/>
        <v>18453.399999999998</v>
      </c>
      <c r="J293" s="11">
        <f t="shared" si="27"/>
        <v>0.15613382899628253</v>
      </c>
      <c r="K293" t="str">
        <f t="shared" si="28"/>
        <v>November</v>
      </c>
      <c r="L293" t="str">
        <f t="shared" si="29"/>
        <v>2023</v>
      </c>
    </row>
    <row r="294" spans="1:12" x14ac:dyDescent="0.3">
      <c r="A294" t="s">
        <v>48</v>
      </c>
      <c r="B294" s="1">
        <v>44802</v>
      </c>
      <c r="C294" s="1">
        <v>44819</v>
      </c>
      <c r="D294" t="s">
        <v>9</v>
      </c>
      <c r="E294">
        <v>978</v>
      </c>
      <c r="F294" s="8">
        <v>94.15</v>
      </c>
      <c r="G294">
        <v>149</v>
      </c>
      <c r="H294">
        <f t="shared" si="25"/>
        <v>17</v>
      </c>
      <c r="I294" s="9">
        <f t="shared" si="26"/>
        <v>92078.700000000012</v>
      </c>
      <c r="J294" s="11">
        <f t="shared" si="27"/>
        <v>0.15235173824130879</v>
      </c>
      <c r="K294" t="str">
        <f t="shared" si="28"/>
        <v>August</v>
      </c>
      <c r="L294" t="str">
        <f t="shared" si="29"/>
        <v>2022</v>
      </c>
    </row>
    <row r="295" spans="1:12" x14ac:dyDescent="0.3">
      <c r="A295" t="s">
        <v>49</v>
      </c>
      <c r="B295" s="1">
        <v>44975</v>
      </c>
      <c r="C295" s="1">
        <v>44991</v>
      </c>
      <c r="D295" t="s">
        <v>12</v>
      </c>
      <c r="E295">
        <v>1713</v>
      </c>
      <c r="F295" s="8">
        <v>47.45</v>
      </c>
      <c r="G295">
        <v>53</v>
      </c>
      <c r="H295">
        <f t="shared" si="25"/>
        <v>16</v>
      </c>
      <c r="I295" s="9">
        <f t="shared" si="26"/>
        <v>81281.850000000006</v>
      </c>
      <c r="J295" s="11">
        <f t="shared" si="27"/>
        <v>3.0939871570344425E-2</v>
      </c>
      <c r="K295" t="str">
        <f t="shared" si="28"/>
        <v>February</v>
      </c>
      <c r="L295" t="str">
        <f t="shared" si="29"/>
        <v>2023</v>
      </c>
    </row>
    <row r="296" spans="1:12" x14ac:dyDescent="0.3">
      <c r="A296" t="s">
        <v>48</v>
      </c>
      <c r="B296" s="1">
        <v>44684</v>
      </c>
      <c r="C296" s="1">
        <v>44688</v>
      </c>
      <c r="D296" t="s">
        <v>12</v>
      </c>
      <c r="E296">
        <v>600</v>
      </c>
      <c r="F296" s="8">
        <v>60.1</v>
      </c>
      <c r="G296">
        <v>95</v>
      </c>
      <c r="H296">
        <f t="shared" si="25"/>
        <v>4</v>
      </c>
      <c r="I296" s="9">
        <f t="shared" si="26"/>
        <v>36060</v>
      </c>
      <c r="J296" s="11">
        <f t="shared" si="27"/>
        <v>0.15833333333333333</v>
      </c>
      <c r="K296" t="str">
        <f t="shared" si="28"/>
        <v>May</v>
      </c>
      <c r="L296" t="str">
        <f t="shared" si="29"/>
        <v>2022</v>
      </c>
    </row>
    <row r="297" spans="1:12" x14ac:dyDescent="0.3">
      <c r="A297" t="s">
        <v>46</v>
      </c>
      <c r="B297" s="1">
        <v>45145</v>
      </c>
      <c r="C297" s="1">
        <v>45163</v>
      </c>
      <c r="D297" t="s">
        <v>13</v>
      </c>
      <c r="E297">
        <v>387</v>
      </c>
      <c r="F297" s="8">
        <v>100.28</v>
      </c>
      <c r="G297">
        <v>5</v>
      </c>
      <c r="H297">
        <f t="shared" si="25"/>
        <v>18</v>
      </c>
      <c r="I297" s="9">
        <f t="shared" si="26"/>
        <v>38808.36</v>
      </c>
      <c r="J297" s="11">
        <f t="shared" si="27"/>
        <v>1.2919896640826873E-2</v>
      </c>
      <c r="K297" t="str">
        <f t="shared" si="28"/>
        <v>August</v>
      </c>
      <c r="L297" t="str">
        <f t="shared" si="29"/>
        <v>2023</v>
      </c>
    </row>
    <row r="298" spans="1:12" x14ac:dyDescent="0.3">
      <c r="A298" t="s">
        <v>46</v>
      </c>
      <c r="B298" s="1">
        <v>44814</v>
      </c>
      <c r="C298" s="1">
        <v>44823</v>
      </c>
      <c r="D298" t="s">
        <v>10</v>
      </c>
      <c r="E298">
        <v>921</v>
      </c>
      <c r="F298" s="8">
        <v>68.83</v>
      </c>
      <c r="G298">
        <v>22</v>
      </c>
      <c r="H298">
        <f t="shared" si="25"/>
        <v>9</v>
      </c>
      <c r="I298" s="9">
        <f t="shared" si="26"/>
        <v>63392.43</v>
      </c>
      <c r="J298" s="11">
        <f t="shared" si="27"/>
        <v>2.3887079261672096E-2</v>
      </c>
      <c r="K298" t="str">
        <f t="shared" si="28"/>
        <v>September</v>
      </c>
      <c r="L298" t="str">
        <f t="shared" si="29"/>
        <v>2022</v>
      </c>
    </row>
    <row r="299" spans="1:12" x14ac:dyDescent="0.3">
      <c r="A299" t="s">
        <v>47</v>
      </c>
      <c r="B299" s="1">
        <v>45154</v>
      </c>
      <c r="C299" s="1">
        <v>45168</v>
      </c>
      <c r="D299" t="s">
        <v>10</v>
      </c>
      <c r="E299">
        <v>690</v>
      </c>
      <c r="F299" s="8">
        <v>22.47</v>
      </c>
      <c r="G299">
        <v>77</v>
      </c>
      <c r="H299">
        <f t="shared" si="25"/>
        <v>14</v>
      </c>
      <c r="I299" s="9">
        <f t="shared" si="26"/>
        <v>15504.3</v>
      </c>
      <c r="J299" s="11">
        <f t="shared" si="27"/>
        <v>0.11159420289855072</v>
      </c>
      <c r="K299" t="str">
        <f t="shared" si="28"/>
        <v>August</v>
      </c>
      <c r="L299" t="str">
        <f t="shared" si="29"/>
        <v>2023</v>
      </c>
    </row>
    <row r="300" spans="1:12" x14ac:dyDescent="0.3">
      <c r="A300" t="s">
        <v>46</v>
      </c>
      <c r="B300" s="1">
        <v>45170</v>
      </c>
      <c r="C300" s="1">
        <v>45190</v>
      </c>
      <c r="D300" t="s">
        <v>9</v>
      </c>
      <c r="E300">
        <v>1852</v>
      </c>
      <c r="F300" s="8">
        <v>104.04</v>
      </c>
      <c r="G300">
        <v>36</v>
      </c>
      <c r="H300">
        <f t="shared" si="25"/>
        <v>20</v>
      </c>
      <c r="I300" s="9">
        <f t="shared" si="26"/>
        <v>192682.08000000002</v>
      </c>
      <c r="J300" s="11">
        <f t="shared" si="27"/>
        <v>1.9438444924406047E-2</v>
      </c>
      <c r="K300" t="str">
        <f t="shared" si="28"/>
        <v>September</v>
      </c>
      <c r="L300" t="str">
        <f t="shared" si="29"/>
        <v>2023</v>
      </c>
    </row>
    <row r="301" spans="1:12" x14ac:dyDescent="0.3">
      <c r="A301" t="s">
        <v>48</v>
      </c>
      <c r="B301" s="1">
        <v>44602</v>
      </c>
      <c r="C301" s="1">
        <v>44620</v>
      </c>
      <c r="D301" t="s">
        <v>13</v>
      </c>
      <c r="E301">
        <v>522</v>
      </c>
      <c r="F301" s="8">
        <v>66.83</v>
      </c>
      <c r="G301">
        <v>74</v>
      </c>
      <c r="H301">
        <f t="shared" si="25"/>
        <v>18</v>
      </c>
      <c r="I301" s="9">
        <f t="shared" si="26"/>
        <v>34885.26</v>
      </c>
      <c r="J301" s="11">
        <f t="shared" si="27"/>
        <v>0.1417624521072797</v>
      </c>
      <c r="K301" t="str">
        <f t="shared" si="28"/>
        <v>February</v>
      </c>
      <c r="L301" t="str">
        <f t="shared" si="29"/>
        <v>2022</v>
      </c>
    </row>
    <row r="302" spans="1:12" x14ac:dyDescent="0.3">
      <c r="A302" t="s">
        <v>48</v>
      </c>
      <c r="B302" s="1">
        <v>45196</v>
      </c>
      <c r="C302" s="1">
        <v>45205</v>
      </c>
      <c r="D302" t="s">
        <v>13</v>
      </c>
      <c r="E302">
        <v>200</v>
      </c>
      <c r="F302" s="8">
        <v>44.16</v>
      </c>
      <c r="G302">
        <v>21</v>
      </c>
      <c r="H302">
        <f t="shared" si="25"/>
        <v>9</v>
      </c>
      <c r="I302" s="9">
        <f t="shared" si="26"/>
        <v>8832</v>
      </c>
      <c r="J302" s="11">
        <f t="shared" si="27"/>
        <v>0.105</v>
      </c>
      <c r="K302" t="str">
        <f t="shared" si="28"/>
        <v>September</v>
      </c>
      <c r="L302" t="str">
        <f t="shared" si="29"/>
        <v>2023</v>
      </c>
    </row>
    <row r="303" spans="1:12" x14ac:dyDescent="0.3">
      <c r="A303" t="s">
        <v>50</v>
      </c>
      <c r="B303" s="1">
        <v>44645</v>
      </c>
      <c r="C303" s="1">
        <v>44654</v>
      </c>
      <c r="D303" t="s">
        <v>11</v>
      </c>
      <c r="E303">
        <v>1488</v>
      </c>
      <c r="F303" s="8">
        <v>22.76</v>
      </c>
      <c r="G303">
        <v>0</v>
      </c>
      <c r="H303">
        <f t="shared" si="25"/>
        <v>9</v>
      </c>
      <c r="I303" s="9">
        <f t="shared" si="26"/>
        <v>33866.880000000005</v>
      </c>
      <c r="J303" s="11">
        <f t="shared" si="27"/>
        <v>0</v>
      </c>
      <c r="K303" t="str">
        <f t="shared" si="28"/>
        <v>March</v>
      </c>
      <c r="L303" t="str">
        <f t="shared" si="29"/>
        <v>2022</v>
      </c>
    </row>
    <row r="304" spans="1:12" x14ac:dyDescent="0.3">
      <c r="A304" t="s">
        <v>49</v>
      </c>
      <c r="B304" s="1">
        <v>44991</v>
      </c>
      <c r="C304" s="1">
        <v>45001</v>
      </c>
      <c r="D304" t="s">
        <v>13</v>
      </c>
      <c r="E304">
        <v>1371</v>
      </c>
      <c r="F304" s="8">
        <v>87.16</v>
      </c>
      <c r="G304">
        <v>43</v>
      </c>
      <c r="H304">
        <f t="shared" si="25"/>
        <v>10</v>
      </c>
      <c r="I304" s="9">
        <f t="shared" si="26"/>
        <v>119496.36</v>
      </c>
      <c r="J304" s="11">
        <f t="shared" si="27"/>
        <v>3.1363967906637494E-2</v>
      </c>
      <c r="K304" t="str">
        <f t="shared" si="28"/>
        <v>March</v>
      </c>
      <c r="L304" t="str">
        <f t="shared" si="29"/>
        <v>2023</v>
      </c>
    </row>
    <row r="305" spans="1:12" x14ac:dyDescent="0.3">
      <c r="A305" t="s">
        <v>49</v>
      </c>
      <c r="B305" s="1">
        <v>45159</v>
      </c>
      <c r="C305" s="1">
        <v>45165</v>
      </c>
      <c r="D305" t="s">
        <v>13</v>
      </c>
      <c r="E305">
        <v>312</v>
      </c>
      <c r="F305" s="8">
        <v>63.52</v>
      </c>
      <c r="G305">
        <v>0</v>
      </c>
      <c r="H305">
        <f t="shared" si="25"/>
        <v>6</v>
      </c>
      <c r="I305" s="9">
        <f t="shared" si="26"/>
        <v>19818.240000000002</v>
      </c>
      <c r="J305" s="11">
        <f t="shared" si="27"/>
        <v>0</v>
      </c>
      <c r="K305" t="str">
        <f t="shared" si="28"/>
        <v>August</v>
      </c>
      <c r="L305" t="str">
        <f t="shared" si="29"/>
        <v>2023</v>
      </c>
    </row>
    <row r="306" spans="1:12" x14ac:dyDescent="0.3">
      <c r="A306" t="s">
        <v>46</v>
      </c>
      <c r="B306" s="1">
        <v>45140</v>
      </c>
      <c r="C306" s="1">
        <v>45159</v>
      </c>
      <c r="D306" t="s">
        <v>11</v>
      </c>
      <c r="E306">
        <v>1837</v>
      </c>
      <c r="F306" s="8">
        <v>99.04</v>
      </c>
      <c r="G306">
        <v>39</v>
      </c>
      <c r="H306">
        <f t="shared" si="25"/>
        <v>19</v>
      </c>
      <c r="I306" s="9">
        <f t="shared" si="26"/>
        <v>181936.48</v>
      </c>
      <c r="J306" s="11">
        <f t="shared" si="27"/>
        <v>2.1230266739248774E-2</v>
      </c>
      <c r="K306" t="str">
        <f t="shared" si="28"/>
        <v>August</v>
      </c>
      <c r="L306" t="str">
        <f t="shared" si="29"/>
        <v>2023</v>
      </c>
    </row>
    <row r="307" spans="1:12" x14ac:dyDescent="0.3">
      <c r="A307" t="s">
        <v>47</v>
      </c>
      <c r="B307" s="1">
        <v>45097</v>
      </c>
      <c r="C307" s="1">
        <v>45100</v>
      </c>
      <c r="D307" t="s">
        <v>10</v>
      </c>
      <c r="E307">
        <v>193</v>
      </c>
      <c r="F307" s="8">
        <v>87.86</v>
      </c>
      <c r="G307">
        <v>21</v>
      </c>
      <c r="H307">
        <f t="shared" si="25"/>
        <v>3</v>
      </c>
      <c r="I307" s="9">
        <f t="shared" si="26"/>
        <v>16956.98</v>
      </c>
      <c r="J307" s="11">
        <f t="shared" si="27"/>
        <v>0.10880829015544041</v>
      </c>
      <c r="K307" t="str">
        <f t="shared" si="28"/>
        <v>June</v>
      </c>
      <c r="L307" t="str">
        <f t="shared" si="29"/>
        <v>2023</v>
      </c>
    </row>
    <row r="308" spans="1:12" x14ac:dyDescent="0.3">
      <c r="A308" t="s">
        <v>47</v>
      </c>
      <c r="B308" s="1">
        <v>44885</v>
      </c>
      <c r="C308" s="1">
        <v>44886</v>
      </c>
      <c r="D308" t="s">
        <v>13</v>
      </c>
      <c r="E308">
        <v>395</v>
      </c>
      <c r="F308" s="8">
        <v>24.83</v>
      </c>
      <c r="G308">
        <v>31</v>
      </c>
      <c r="H308">
        <f t="shared" si="25"/>
        <v>1</v>
      </c>
      <c r="I308" s="9">
        <f t="shared" si="26"/>
        <v>9807.8499999999985</v>
      </c>
      <c r="J308" s="11">
        <f t="shared" si="27"/>
        <v>7.848101265822785E-2</v>
      </c>
      <c r="K308" t="str">
        <f t="shared" si="28"/>
        <v>November</v>
      </c>
      <c r="L308" t="str">
        <f t="shared" si="29"/>
        <v>2022</v>
      </c>
    </row>
    <row r="309" spans="1:12" x14ac:dyDescent="0.3">
      <c r="A309" t="s">
        <v>49</v>
      </c>
      <c r="B309" s="1">
        <v>44829</v>
      </c>
      <c r="C309" s="1">
        <v>44846</v>
      </c>
      <c r="D309" t="s">
        <v>13</v>
      </c>
      <c r="E309">
        <v>673</v>
      </c>
      <c r="F309" s="8">
        <v>39.58</v>
      </c>
      <c r="G309">
        <v>25</v>
      </c>
      <c r="H309">
        <f t="shared" si="25"/>
        <v>17</v>
      </c>
      <c r="I309" s="9">
        <f t="shared" si="26"/>
        <v>26637.34</v>
      </c>
      <c r="J309" s="11">
        <f t="shared" si="27"/>
        <v>3.7147102526002972E-2</v>
      </c>
      <c r="K309" t="str">
        <f t="shared" si="28"/>
        <v>September</v>
      </c>
      <c r="L309" t="str">
        <f t="shared" si="29"/>
        <v>2022</v>
      </c>
    </row>
    <row r="310" spans="1:12" x14ac:dyDescent="0.3">
      <c r="A310" t="s">
        <v>48</v>
      </c>
      <c r="B310" s="1">
        <v>44771</v>
      </c>
      <c r="C310" s="1">
        <v>44785</v>
      </c>
      <c r="D310" t="s">
        <v>9</v>
      </c>
      <c r="E310">
        <v>1066</v>
      </c>
      <c r="F310" s="8">
        <v>33.33</v>
      </c>
      <c r="G310">
        <v>162</v>
      </c>
      <c r="H310">
        <f t="shared" si="25"/>
        <v>14</v>
      </c>
      <c r="I310" s="9">
        <f t="shared" si="26"/>
        <v>35529.78</v>
      </c>
      <c r="J310" s="11">
        <f t="shared" si="27"/>
        <v>0.15196998123827393</v>
      </c>
      <c r="K310" t="str">
        <f t="shared" si="28"/>
        <v>July</v>
      </c>
      <c r="L310" t="str">
        <f t="shared" si="29"/>
        <v>2022</v>
      </c>
    </row>
    <row r="311" spans="1:12" x14ac:dyDescent="0.3">
      <c r="A311" t="s">
        <v>50</v>
      </c>
      <c r="B311" s="1">
        <v>45247</v>
      </c>
      <c r="C311" s="1">
        <v>45253</v>
      </c>
      <c r="D311" t="s">
        <v>11</v>
      </c>
      <c r="E311">
        <v>1645</v>
      </c>
      <c r="F311" s="8">
        <v>85.42</v>
      </c>
      <c r="G311">
        <v>73</v>
      </c>
      <c r="H311">
        <f t="shared" si="25"/>
        <v>6</v>
      </c>
      <c r="I311" s="9">
        <f t="shared" si="26"/>
        <v>140515.9</v>
      </c>
      <c r="J311" s="11">
        <f t="shared" si="27"/>
        <v>4.4376899696048633E-2</v>
      </c>
      <c r="K311" t="str">
        <f t="shared" si="28"/>
        <v>November</v>
      </c>
      <c r="L311" t="str">
        <f t="shared" si="29"/>
        <v>2023</v>
      </c>
    </row>
    <row r="312" spans="1:12" x14ac:dyDescent="0.3">
      <c r="A312" t="s">
        <v>46</v>
      </c>
      <c r="B312" s="1">
        <v>44883</v>
      </c>
      <c r="C312" s="1">
        <v>44894</v>
      </c>
      <c r="D312" t="s">
        <v>13</v>
      </c>
      <c r="E312">
        <v>930</v>
      </c>
      <c r="F312" s="8">
        <v>13.67</v>
      </c>
      <c r="G312">
        <v>16</v>
      </c>
      <c r="H312">
        <f t="shared" si="25"/>
        <v>11</v>
      </c>
      <c r="I312" s="9">
        <f t="shared" si="26"/>
        <v>12713.1</v>
      </c>
      <c r="J312" s="11">
        <f t="shared" si="27"/>
        <v>1.7204301075268817E-2</v>
      </c>
      <c r="K312" t="str">
        <f t="shared" si="28"/>
        <v>November</v>
      </c>
      <c r="L312" t="str">
        <f t="shared" si="29"/>
        <v>2022</v>
      </c>
    </row>
    <row r="313" spans="1:12" x14ac:dyDescent="0.3">
      <c r="A313" t="s">
        <v>46</v>
      </c>
      <c r="B313" s="1">
        <v>44806</v>
      </c>
      <c r="C313" s="1">
        <v>44825</v>
      </c>
      <c r="D313" t="s">
        <v>9</v>
      </c>
      <c r="E313">
        <v>51</v>
      </c>
      <c r="F313" s="8">
        <v>63.74</v>
      </c>
      <c r="G313">
        <v>0</v>
      </c>
      <c r="H313">
        <f t="shared" si="25"/>
        <v>19</v>
      </c>
      <c r="I313" s="9">
        <f t="shared" si="26"/>
        <v>3250.7400000000002</v>
      </c>
      <c r="J313" s="11">
        <f t="shared" si="27"/>
        <v>0</v>
      </c>
      <c r="K313" t="str">
        <f t="shared" si="28"/>
        <v>September</v>
      </c>
      <c r="L313" t="str">
        <f t="shared" si="29"/>
        <v>2022</v>
      </c>
    </row>
    <row r="314" spans="1:12" x14ac:dyDescent="0.3">
      <c r="A314" t="s">
        <v>50</v>
      </c>
      <c r="B314" s="1">
        <v>44833</v>
      </c>
      <c r="C314" s="1">
        <v>44835</v>
      </c>
      <c r="D314" t="s">
        <v>11</v>
      </c>
      <c r="E314">
        <v>946</v>
      </c>
      <c r="F314" s="8">
        <v>81.77</v>
      </c>
      <c r="G314">
        <v>55</v>
      </c>
      <c r="H314">
        <f t="shared" si="25"/>
        <v>2</v>
      </c>
      <c r="I314" s="9">
        <f t="shared" si="26"/>
        <v>77354.42</v>
      </c>
      <c r="J314" s="11">
        <f t="shared" si="27"/>
        <v>5.8139534883720929E-2</v>
      </c>
      <c r="K314" t="str">
        <f t="shared" si="28"/>
        <v>September</v>
      </c>
      <c r="L314" t="str">
        <f t="shared" si="29"/>
        <v>2022</v>
      </c>
    </row>
    <row r="315" spans="1:12" x14ac:dyDescent="0.3">
      <c r="A315" t="s">
        <v>49</v>
      </c>
      <c r="B315" s="1">
        <v>44967</v>
      </c>
      <c r="C315" s="1">
        <v>44987</v>
      </c>
      <c r="D315" t="s">
        <v>12</v>
      </c>
      <c r="E315">
        <v>1377</v>
      </c>
      <c r="F315" s="8">
        <v>94.69</v>
      </c>
      <c r="G315">
        <v>0</v>
      </c>
      <c r="H315">
        <f t="shared" si="25"/>
        <v>20</v>
      </c>
      <c r="I315" s="9">
        <f t="shared" si="26"/>
        <v>130388.12999999999</v>
      </c>
      <c r="J315" s="11">
        <f t="shared" si="27"/>
        <v>0</v>
      </c>
      <c r="K315" t="str">
        <f t="shared" si="28"/>
        <v>February</v>
      </c>
      <c r="L315" t="str">
        <f t="shared" si="29"/>
        <v>2023</v>
      </c>
    </row>
    <row r="316" spans="1:12" x14ac:dyDescent="0.3">
      <c r="A316" t="s">
        <v>49</v>
      </c>
      <c r="B316" s="1">
        <v>44696</v>
      </c>
      <c r="C316" s="1">
        <v>44699</v>
      </c>
      <c r="D316" t="s">
        <v>11</v>
      </c>
      <c r="E316">
        <v>303</v>
      </c>
      <c r="F316" s="8">
        <v>41.6</v>
      </c>
      <c r="G316">
        <v>11</v>
      </c>
      <c r="H316">
        <f t="shared" si="25"/>
        <v>3</v>
      </c>
      <c r="I316" s="9">
        <f t="shared" si="26"/>
        <v>12604.800000000001</v>
      </c>
      <c r="J316" s="11">
        <f t="shared" si="27"/>
        <v>3.6303630363036306E-2</v>
      </c>
      <c r="K316" t="str">
        <f t="shared" si="28"/>
        <v>May</v>
      </c>
      <c r="L316" t="str">
        <f t="shared" si="29"/>
        <v>2022</v>
      </c>
    </row>
    <row r="317" spans="1:12" x14ac:dyDescent="0.3">
      <c r="A317" t="s">
        <v>46</v>
      </c>
      <c r="B317" s="1">
        <v>45249</v>
      </c>
      <c r="C317" s="1">
        <v>45263</v>
      </c>
      <c r="D317" t="s">
        <v>12</v>
      </c>
      <c r="E317">
        <v>1725</v>
      </c>
      <c r="F317" s="8">
        <v>93.14</v>
      </c>
      <c r="G317">
        <v>24</v>
      </c>
      <c r="H317">
        <f t="shared" si="25"/>
        <v>14</v>
      </c>
      <c r="I317" s="9">
        <f t="shared" si="26"/>
        <v>160666.5</v>
      </c>
      <c r="J317" s="11">
        <f t="shared" si="27"/>
        <v>1.391304347826087E-2</v>
      </c>
      <c r="K317" t="str">
        <f t="shared" si="28"/>
        <v>November</v>
      </c>
      <c r="L317" t="str">
        <f t="shared" si="29"/>
        <v>2023</v>
      </c>
    </row>
    <row r="318" spans="1:12" x14ac:dyDescent="0.3">
      <c r="A318" t="s">
        <v>47</v>
      </c>
      <c r="B318" s="1">
        <v>45222</v>
      </c>
      <c r="C318" s="1">
        <v>45237</v>
      </c>
      <c r="D318" t="s">
        <v>12</v>
      </c>
      <c r="E318">
        <v>502</v>
      </c>
      <c r="F318" s="8">
        <v>22.05</v>
      </c>
      <c r="G318">
        <v>50</v>
      </c>
      <c r="H318">
        <f t="shared" si="25"/>
        <v>15</v>
      </c>
      <c r="I318" s="9">
        <f t="shared" si="26"/>
        <v>11069.1</v>
      </c>
      <c r="J318" s="11">
        <f t="shared" si="27"/>
        <v>9.9601593625498003E-2</v>
      </c>
      <c r="K318" t="str">
        <f t="shared" si="28"/>
        <v>October</v>
      </c>
      <c r="L318" t="str">
        <f t="shared" si="29"/>
        <v>2023</v>
      </c>
    </row>
    <row r="319" spans="1:12" x14ac:dyDescent="0.3">
      <c r="A319" t="s">
        <v>50</v>
      </c>
      <c r="B319" s="1">
        <v>44869</v>
      </c>
      <c r="C319" s="1">
        <v>44876</v>
      </c>
      <c r="D319" t="s">
        <v>11</v>
      </c>
      <c r="E319">
        <v>1110</v>
      </c>
      <c r="F319" s="8">
        <v>90.49</v>
      </c>
      <c r="G319">
        <v>61</v>
      </c>
      <c r="H319">
        <f t="shared" si="25"/>
        <v>7</v>
      </c>
      <c r="I319" s="9">
        <f t="shared" si="26"/>
        <v>100443.9</v>
      </c>
      <c r="J319" s="11">
        <f t="shared" si="27"/>
        <v>5.4954954954954956E-2</v>
      </c>
      <c r="K319" t="str">
        <f t="shared" si="28"/>
        <v>November</v>
      </c>
      <c r="L319" t="str">
        <f t="shared" si="29"/>
        <v>2022</v>
      </c>
    </row>
    <row r="320" spans="1:12" x14ac:dyDescent="0.3">
      <c r="A320" t="s">
        <v>46</v>
      </c>
      <c r="B320" s="1">
        <v>45030</v>
      </c>
      <c r="C320" s="1">
        <v>45034</v>
      </c>
      <c r="D320" t="s">
        <v>11</v>
      </c>
      <c r="E320">
        <v>1233</v>
      </c>
      <c r="F320" s="8">
        <v>23.08</v>
      </c>
      <c r="G320">
        <v>0</v>
      </c>
      <c r="H320">
        <f t="shared" si="25"/>
        <v>4</v>
      </c>
      <c r="I320" s="9">
        <f t="shared" si="26"/>
        <v>28457.64</v>
      </c>
      <c r="J320" s="11">
        <f t="shared" si="27"/>
        <v>0</v>
      </c>
      <c r="K320" t="str">
        <f t="shared" si="28"/>
        <v>April</v>
      </c>
      <c r="L320" t="str">
        <f t="shared" si="29"/>
        <v>2023</v>
      </c>
    </row>
    <row r="321" spans="1:12" x14ac:dyDescent="0.3">
      <c r="A321" t="s">
        <v>47</v>
      </c>
      <c r="B321" s="1">
        <v>44885</v>
      </c>
      <c r="C321" s="1">
        <v>44889</v>
      </c>
      <c r="D321" t="s">
        <v>9</v>
      </c>
      <c r="E321">
        <v>1064</v>
      </c>
      <c r="F321" s="8">
        <v>48.04</v>
      </c>
      <c r="G321">
        <v>94</v>
      </c>
      <c r="H321">
        <f t="shared" si="25"/>
        <v>4</v>
      </c>
      <c r="I321" s="9">
        <f t="shared" si="26"/>
        <v>51114.559999999998</v>
      </c>
      <c r="J321" s="11">
        <f t="shared" si="27"/>
        <v>8.834586466165413E-2</v>
      </c>
      <c r="K321" t="str">
        <f t="shared" si="28"/>
        <v>November</v>
      </c>
      <c r="L321" t="str">
        <f t="shared" si="29"/>
        <v>2022</v>
      </c>
    </row>
    <row r="322" spans="1:12" x14ac:dyDescent="0.3">
      <c r="A322" t="s">
        <v>49</v>
      </c>
      <c r="B322" s="1">
        <v>44636</v>
      </c>
      <c r="C322" s="1">
        <v>44655</v>
      </c>
      <c r="D322" t="s">
        <v>11</v>
      </c>
      <c r="E322">
        <v>58</v>
      </c>
      <c r="F322" s="8">
        <v>82.57</v>
      </c>
      <c r="G322">
        <v>0</v>
      </c>
      <c r="H322">
        <f t="shared" si="25"/>
        <v>19</v>
      </c>
      <c r="I322" s="9">
        <f t="shared" si="26"/>
        <v>4789.0599999999995</v>
      </c>
      <c r="J322" s="11">
        <f t="shared" si="27"/>
        <v>0</v>
      </c>
      <c r="K322" t="str">
        <f t="shared" si="28"/>
        <v>March</v>
      </c>
      <c r="L322" t="str">
        <f t="shared" si="29"/>
        <v>2022</v>
      </c>
    </row>
    <row r="323" spans="1:12" x14ac:dyDescent="0.3">
      <c r="A323" t="s">
        <v>49</v>
      </c>
      <c r="B323" s="1">
        <v>44589</v>
      </c>
      <c r="C323" s="1">
        <v>44604</v>
      </c>
      <c r="D323" t="s">
        <v>13</v>
      </c>
      <c r="E323">
        <v>1735</v>
      </c>
      <c r="F323" s="8">
        <v>20.54</v>
      </c>
      <c r="G323">
        <v>49</v>
      </c>
      <c r="H323">
        <f t="shared" si="25"/>
        <v>15</v>
      </c>
      <c r="I323" s="9">
        <f t="shared" si="26"/>
        <v>35636.9</v>
      </c>
      <c r="J323" s="11">
        <f t="shared" si="27"/>
        <v>2.824207492795389E-2</v>
      </c>
      <c r="K323" t="str">
        <f t="shared" si="28"/>
        <v>January</v>
      </c>
      <c r="L323" t="str">
        <f t="shared" si="29"/>
        <v>2022</v>
      </c>
    </row>
    <row r="324" spans="1:12" x14ac:dyDescent="0.3">
      <c r="A324" t="s">
        <v>48</v>
      </c>
      <c r="B324" s="1">
        <v>45031</v>
      </c>
      <c r="C324" s="1">
        <v>45044</v>
      </c>
      <c r="D324" t="s">
        <v>13</v>
      </c>
      <c r="E324">
        <v>1172</v>
      </c>
      <c r="F324" s="8">
        <v>32.93</v>
      </c>
      <c r="G324">
        <v>0</v>
      </c>
      <c r="H324">
        <f t="shared" ref="H324:H387" si="30" xml:space="preserve"> C324-B324</f>
        <v>13</v>
      </c>
      <c r="I324" s="9">
        <f t="shared" ref="I324:I387" si="31">F324*E324</f>
        <v>38593.96</v>
      </c>
      <c r="J324" s="11">
        <f t="shared" ref="J324:J387" si="32">(G324/E324)</f>
        <v>0</v>
      </c>
      <c r="K324" t="str">
        <f t="shared" ref="K324:K387" si="33">TEXT(B324,"mmmm")</f>
        <v>April</v>
      </c>
      <c r="L324" t="str">
        <f t="shared" ref="L324:L387" si="34">TEXT(B324,"yyyy")</f>
        <v>2023</v>
      </c>
    </row>
    <row r="325" spans="1:12" x14ac:dyDescent="0.3">
      <c r="A325" t="s">
        <v>50</v>
      </c>
      <c r="B325" s="1">
        <v>45138</v>
      </c>
      <c r="C325" s="1">
        <v>45145</v>
      </c>
      <c r="D325" t="s">
        <v>12</v>
      </c>
      <c r="E325">
        <v>865</v>
      </c>
      <c r="F325" s="8">
        <v>81.540000000000006</v>
      </c>
      <c r="G325">
        <v>39</v>
      </c>
      <c r="H325">
        <f t="shared" si="30"/>
        <v>7</v>
      </c>
      <c r="I325" s="9">
        <f t="shared" si="31"/>
        <v>70532.100000000006</v>
      </c>
      <c r="J325" s="11">
        <f t="shared" si="32"/>
        <v>4.5086705202312137E-2</v>
      </c>
      <c r="K325" t="str">
        <f t="shared" si="33"/>
        <v>July</v>
      </c>
      <c r="L325" t="str">
        <f t="shared" si="34"/>
        <v>2023</v>
      </c>
    </row>
    <row r="326" spans="1:12" x14ac:dyDescent="0.3">
      <c r="A326" t="s">
        <v>47</v>
      </c>
      <c r="B326" s="1">
        <v>44664</v>
      </c>
      <c r="C326" s="1">
        <v>44671</v>
      </c>
      <c r="D326" t="s">
        <v>12</v>
      </c>
      <c r="E326">
        <v>257</v>
      </c>
      <c r="F326" s="8">
        <v>68.72</v>
      </c>
      <c r="G326">
        <v>22</v>
      </c>
      <c r="H326">
        <f t="shared" si="30"/>
        <v>7</v>
      </c>
      <c r="I326" s="9">
        <f t="shared" si="31"/>
        <v>17661.04</v>
      </c>
      <c r="J326" s="11">
        <f t="shared" si="32"/>
        <v>8.5603112840466927E-2</v>
      </c>
      <c r="K326" t="str">
        <f t="shared" si="33"/>
        <v>April</v>
      </c>
      <c r="L326" t="str">
        <f t="shared" si="34"/>
        <v>2022</v>
      </c>
    </row>
    <row r="327" spans="1:12" x14ac:dyDescent="0.3">
      <c r="A327" t="s">
        <v>49</v>
      </c>
      <c r="B327" s="1">
        <v>44637</v>
      </c>
      <c r="C327" s="1">
        <v>44646</v>
      </c>
      <c r="D327" t="s">
        <v>11</v>
      </c>
      <c r="E327">
        <v>1204</v>
      </c>
      <c r="F327" s="8">
        <v>73.180000000000007</v>
      </c>
      <c r="G327">
        <v>31</v>
      </c>
      <c r="H327">
        <f t="shared" si="30"/>
        <v>9</v>
      </c>
      <c r="I327" s="9">
        <f t="shared" si="31"/>
        <v>88108.72</v>
      </c>
      <c r="J327" s="11">
        <f t="shared" si="32"/>
        <v>2.5747508305647839E-2</v>
      </c>
      <c r="K327" t="str">
        <f t="shared" si="33"/>
        <v>March</v>
      </c>
      <c r="L327" t="str">
        <f t="shared" si="34"/>
        <v>2022</v>
      </c>
    </row>
    <row r="328" spans="1:12" x14ac:dyDescent="0.3">
      <c r="A328" t="s">
        <v>47</v>
      </c>
      <c r="B328" s="1">
        <v>45112</v>
      </c>
      <c r="C328" s="1">
        <v>45116</v>
      </c>
      <c r="D328" t="s">
        <v>13</v>
      </c>
      <c r="E328">
        <v>453</v>
      </c>
      <c r="F328" s="8">
        <v>64.14</v>
      </c>
      <c r="G328">
        <v>51</v>
      </c>
      <c r="H328">
        <f t="shared" si="30"/>
        <v>4</v>
      </c>
      <c r="I328" s="9">
        <f t="shared" si="31"/>
        <v>29055.420000000002</v>
      </c>
      <c r="J328" s="11">
        <f t="shared" si="32"/>
        <v>0.11258278145695365</v>
      </c>
      <c r="K328" t="str">
        <f t="shared" si="33"/>
        <v>July</v>
      </c>
      <c r="L328" t="str">
        <f t="shared" si="34"/>
        <v>2023</v>
      </c>
    </row>
    <row r="329" spans="1:12" x14ac:dyDescent="0.3">
      <c r="A329" t="s">
        <v>49</v>
      </c>
      <c r="B329" s="1">
        <v>44780</v>
      </c>
      <c r="C329" s="1">
        <v>44794</v>
      </c>
      <c r="D329" t="s">
        <v>13</v>
      </c>
      <c r="E329">
        <v>201</v>
      </c>
      <c r="F329" s="8">
        <v>33.81</v>
      </c>
      <c r="G329">
        <v>3</v>
      </c>
      <c r="H329">
        <f t="shared" si="30"/>
        <v>14</v>
      </c>
      <c r="I329" s="9">
        <f t="shared" si="31"/>
        <v>6795.81</v>
      </c>
      <c r="J329" s="11">
        <f t="shared" si="32"/>
        <v>1.4925373134328358E-2</v>
      </c>
      <c r="K329" t="str">
        <f t="shared" si="33"/>
        <v>August</v>
      </c>
      <c r="L329" t="str">
        <f t="shared" si="34"/>
        <v>2022</v>
      </c>
    </row>
    <row r="330" spans="1:12" x14ac:dyDescent="0.3">
      <c r="A330" t="s">
        <v>48</v>
      </c>
      <c r="B330" s="1">
        <v>45080</v>
      </c>
      <c r="C330" s="1">
        <v>45093</v>
      </c>
      <c r="D330" t="s">
        <v>9</v>
      </c>
      <c r="E330">
        <v>103</v>
      </c>
      <c r="F330" s="8">
        <v>44.61</v>
      </c>
      <c r="G330">
        <v>10</v>
      </c>
      <c r="H330">
        <f t="shared" si="30"/>
        <v>13</v>
      </c>
      <c r="I330" s="9">
        <f t="shared" si="31"/>
        <v>4594.83</v>
      </c>
      <c r="J330" s="11">
        <f t="shared" si="32"/>
        <v>9.7087378640776698E-2</v>
      </c>
      <c r="K330" t="str">
        <f t="shared" si="33"/>
        <v>June</v>
      </c>
      <c r="L330" t="str">
        <f t="shared" si="34"/>
        <v>2023</v>
      </c>
    </row>
    <row r="331" spans="1:12" x14ac:dyDescent="0.3">
      <c r="A331" t="s">
        <v>49</v>
      </c>
      <c r="B331" s="1">
        <v>44833</v>
      </c>
      <c r="C331" s="1">
        <v>44841</v>
      </c>
      <c r="D331" t="s">
        <v>9</v>
      </c>
      <c r="E331">
        <v>1193</v>
      </c>
      <c r="F331" s="8">
        <v>27.4</v>
      </c>
      <c r="G331">
        <v>0</v>
      </c>
      <c r="H331">
        <f t="shared" si="30"/>
        <v>8</v>
      </c>
      <c r="I331" s="9">
        <f t="shared" si="31"/>
        <v>32688.199999999997</v>
      </c>
      <c r="J331" s="11">
        <f t="shared" si="32"/>
        <v>0</v>
      </c>
      <c r="K331" t="str">
        <f t="shared" si="33"/>
        <v>September</v>
      </c>
      <c r="L331" t="str">
        <f t="shared" si="34"/>
        <v>2022</v>
      </c>
    </row>
    <row r="332" spans="1:12" x14ac:dyDescent="0.3">
      <c r="A332" t="s">
        <v>50</v>
      </c>
      <c r="B332" s="1">
        <v>44697</v>
      </c>
      <c r="C332" s="1">
        <v>44709</v>
      </c>
      <c r="D332" t="s">
        <v>9</v>
      </c>
      <c r="E332">
        <v>1746</v>
      </c>
      <c r="F332" s="8">
        <v>93.6</v>
      </c>
      <c r="G332">
        <v>85</v>
      </c>
      <c r="H332">
        <f t="shared" si="30"/>
        <v>12</v>
      </c>
      <c r="I332" s="9">
        <f t="shared" si="31"/>
        <v>163425.59999999998</v>
      </c>
      <c r="J332" s="11">
        <f t="shared" si="32"/>
        <v>4.868270332187858E-2</v>
      </c>
      <c r="K332" t="str">
        <f t="shared" si="33"/>
        <v>May</v>
      </c>
      <c r="L332" t="str">
        <f t="shared" si="34"/>
        <v>2022</v>
      </c>
    </row>
    <row r="333" spans="1:12" x14ac:dyDescent="0.3">
      <c r="A333" t="s">
        <v>48</v>
      </c>
      <c r="B333" s="1">
        <v>44919</v>
      </c>
      <c r="C333" s="1">
        <v>44921</v>
      </c>
      <c r="D333" t="s">
        <v>13</v>
      </c>
      <c r="E333">
        <v>1993</v>
      </c>
      <c r="F333" s="8">
        <v>65.94</v>
      </c>
      <c r="G333">
        <v>0</v>
      </c>
      <c r="H333">
        <f t="shared" si="30"/>
        <v>2</v>
      </c>
      <c r="I333" s="9">
        <f t="shared" si="31"/>
        <v>131418.41999999998</v>
      </c>
      <c r="J333" s="11">
        <f t="shared" si="32"/>
        <v>0</v>
      </c>
      <c r="K333" t="str">
        <f t="shared" si="33"/>
        <v>December</v>
      </c>
      <c r="L333" t="str">
        <f t="shared" si="34"/>
        <v>2022</v>
      </c>
    </row>
    <row r="334" spans="1:12" x14ac:dyDescent="0.3">
      <c r="A334" t="s">
        <v>47</v>
      </c>
      <c r="B334" s="1">
        <v>44632</v>
      </c>
      <c r="C334" s="1">
        <v>44647</v>
      </c>
      <c r="D334" t="s">
        <v>12</v>
      </c>
      <c r="E334">
        <v>677</v>
      </c>
      <c r="F334" s="8">
        <v>46.54</v>
      </c>
      <c r="G334">
        <v>0</v>
      </c>
      <c r="H334">
        <f t="shared" si="30"/>
        <v>15</v>
      </c>
      <c r="I334" s="9">
        <f t="shared" si="31"/>
        <v>31507.579999999998</v>
      </c>
      <c r="J334" s="11">
        <f t="shared" si="32"/>
        <v>0</v>
      </c>
      <c r="K334" t="str">
        <f t="shared" si="33"/>
        <v>March</v>
      </c>
      <c r="L334" t="str">
        <f t="shared" si="34"/>
        <v>2022</v>
      </c>
    </row>
    <row r="335" spans="1:12" x14ac:dyDescent="0.3">
      <c r="A335" t="s">
        <v>49</v>
      </c>
      <c r="B335" s="1">
        <v>44932</v>
      </c>
      <c r="C335" s="1">
        <v>44948</v>
      </c>
      <c r="D335" t="s">
        <v>10</v>
      </c>
      <c r="E335">
        <v>1558</v>
      </c>
      <c r="F335" s="8">
        <v>93.46</v>
      </c>
      <c r="G335">
        <v>39</v>
      </c>
      <c r="H335">
        <f t="shared" si="30"/>
        <v>16</v>
      </c>
      <c r="I335" s="9">
        <f t="shared" si="31"/>
        <v>145610.68</v>
      </c>
      <c r="J335" s="11">
        <f t="shared" si="32"/>
        <v>2.5032092426187421E-2</v>
      </c>
      <c r="K335" t="str">
        <f t="shared" si="33"/>
        <v>January</v>
      </c>
      <c r="L335" t="str">
        <f t="shared" si="34"/>
        <v>2023</v>
      </c>
    </row>
    <row r="336" spans="1:12" x14ac:dyDescent="0.3">
      <c r="A336" t="s">
        <v>50</v>
      </c>
      <c r="B336" s="1">
        <v>44853</v>
      </c>
      <c r="C336" s="1">
        <v>44866</v>
      </c>
      <c r="D336" t="s">
        <v>9</v>
      </c>
      <c r="E336">
        <v>1493</v>
      </c>
      <c r="F336" s="8">
        <v>24.87</v>
      </c>
      <c r="G336">
        <v>56</v>
      </c>
      <c r="H336">
        <f t="shared" si="30"/>
        <v>13</v>
      </c>
      <c r="I336" s="9">
        <f t="shared" si="31"/>
        <v>37130.910000000003</v>
      </c>
      <c r="J336" s="11">
        <f t="shared" si="32"/>
        <v>3.7508372404554589E-2</v>
      </c>
      <c r="K336" t="str">
        <f t="shared" si="33"/>
        <v>October</v>
      </c>
      <c r="L336" t="str">
        <f t="shared" si="34"/>
        <v>2022</v>
      </c>
    </row>
    <row r="337" spans="1:12" x14ac:dyDescent="0.3">
      <c r="A337" t="s">
        <v>46</v>
      </c>
      <c r="B337" s="1">
        <v>44723</v>
      </c>
      <c r="C337" s="1">
        <v>44737</v>
      </c>
      <c r="D337" t="s">
        <v>11</v>
      </c>
      <c r="E337">
        <v>1495</v>
      </c>
      <c r="F337" s="8">
        <v>64.33</v>
      </c>
      <c r="G337">
        <v>26</v>
      </c>
      <c r="H337">
        <f t="shared" si="30"/>
        <v>14</v>
      </c>
      <c r="I337" s="9">
        <f t="shared" si="31"/>
        <v>96173.349999999991</v>
      </c>
      <c r="J337" s="11">
        <f t="shared" si="32"/>
        <v>1.7391304347826087E-2</v>
      </c>
      <c r="K337" t="str">
        <f t="shared" si="33"/>
        <v>June</v>
      </c>
      <c r="L337" t="str">
        <f t="shared" si="34"/>
        <v>2022</v>
      </c>
    </row>
    <row r="338" spans="1:12" x14ac:dyDescent="0.3">
      <c r="A338" t="s">
        <v>46</v>
      </c>
      <c r="B338" s="1">
        <v>45010</v>
      </c>
      <c r="C338" s="1">
        <v>45023</v>
      </c>
      <c r="D338" t="s">
        <v>11</v>
      </c>
      <c r="E338">
        <v>153</v>
      </c>
      <c r="F338" s="8">
        <v>59.42</v>
      </c>
      <c r="G338">
        <v>3</v>
      </c>
      <c r="H338">
        <f t="shared" si="30"/>
        <v>13</v>
      </c>
      <c r="I338" s="9">
        <f t="shared" si="31"/>
        <v>9091.26</v>
      </c>
      <c r="J338" s="11">
        <f t="shared" si="32"/>
        <v>1.9607843137254902E-2</v>
      </c>
      <c r="K338" t="str">
        <f t="shared" si="33"/>
        <v>March</v>
      </c>
      <c r="L338" t="str">
        <f t="shared" si="34"/>
        <v>2023</v>
      </c>
    </row>
    <row r="339" spans="1:12" x14ac:dyDescent="0.3">
      <c r="A339" t="s">
        <v>48</v>
      </c>
      <c r="B339" s="1">
        <v>45118</v>
      </c>
      <c r="C339" s="1">
        <v>45129</v>
      </c>
      <c r="D339" t="s">
        <v>12</v>
      </c>
      <c r="E339">
        <v>1925</v>
      </c>
      <c r="F339" s="8">
        <v>70.88</v>
      </c>
      <c r="G339">
        <v>292</v>
      </c>
      <c r="H339">
        <f t="shared" si="30"/>
        <v>11</v>
      </c>
      <c r="I339" s="9">
        <f t="shared" si="31"/>
        <v>136444</v>
      </c>
      <c r="J339" s="11">
        <f t="shared" si="32"/>
        <v>0.15168831168831168</v>
      </c>
      <c r="K339" t="str">
        <f t="shared" si="33"/>
        <v>July</v>
      </c>
      <c r="L339" t="str">
        <f t="shared" si="34"/>
        <v>2023</v>
      </c>
    </row>
    <row r="340" spans="1:12" x14ac:dyDescent="0.3">
      <c r="A340" t="s">
        <v>47</v>
      </c>
      <c r="B340" s="1">
        <v>45282</v>
      </c>
      <c r="C340" s="1">
        <v>45302</v>
      </c>
      <c r="D340" t="s">
        <v>11</v>
      </c>
      <c r="E340">
        <v>303</v>
      </c>
      <c r="F340" s="8">
        <v>12.97</v>
      </c>
      <c r="G340">
        <v>0</v>
      </c>
      <c r="H340">
        <f t="shared" si="30"/>
        <v>20</v>
      </c>
      <c r="I340" s="9">
        <f t="shared" si="31"/>
        <v>3929.9100000000003</v>
      </c>
      <c r="J340" s="11">
        <f t="shared" si="32"/>
        <v>0</v>
      </c>
      <c r="K340" t="str">
        <f t="shared" si="33"/>
        <v>December</v>
      </c>
      <c r="L340" t="str">
        <f t="shared" si="34"/>
        <v>2023</v>
      </c>
    </row>
    <row r="341" spans="1:12" x14ac:dyDescent="0.3">
      <c r="A341" t="s">
        <v>46</v>
      </c>
      <c r="B341" s="1">
        <v>44871</v>
      </c>
      <c r="C341" s="1">
        <v>44883</v>
      </c>
      <c r="D341" t="s">
        <v>9</v>
      </c>
      <c r="E341">
        <v>1300</v>
      </c>
      <c r="F341" s="8">
        <v>92.92</v>
      </c>
      <c r="G341">
        <v>0</v>
      </c>
      <c r="H341">
        <f t="shared" si="30"/>
        <v>12</v>
      </c>
      <c r="I341" s="9">
        <f t="shared" si="31"/>
        <v>120796</v>
      </c>
      <c r="J341" s="11">
        <f t="shared" si="32"/>
        <v>0</v>
      </c>
      <c r="K341" t="str">
        <f t="shared" si="33"/>
        <v>November</v>
      </c>
      <c r="L341" t="str">
        <f t="shared" si="34"/>
        <v>2022</v>
      </c>
    </row>
    <row r="342" spans="1:12" x14ac:dyDescent="0.3">
      <c r="A342" t="s">
        <v>50</v>
      </c>
      <c r="B342" s="1">
        <v>45188</v>
      </c>
      <c r="C342" s="1">
        <v>45192</v>
      </c>
      <c r="D342" t="s">
        <v>12</v>
      </c>
      <c r="E342">
        <v>1185</v>
      </c>
      <c r="F342" s="8">
        <v>103.28</v>
      </c>
      <c r="G342">
        <v>0</v>
      </c>
      <c r="H342">
        <f t="shared" si="30"/>
        <v>4</v>
      </c>
      <c r="I342" s="9">
        <f t="shared" si="31"/>
        <v>122386.8</v>
      </c>
      <c r="J342" s="11">
        <f t="shared" si="32"/>
        <v>0</v>
      </c>
      <c r="K342" t="str">
        <f t="shared" si="33"/>
        <v>September</v>
      </c>
      <c r="L342" t="str">
        <f t="shared" si="34"/>
        <v>2023</v>
      </c>
    </row>
    <row r="343" spans="1:12" x14ac:dyDescent="0.3">
      <c r="A343" t="s">
        <v>49</v>
      </c>
      <c r="B343" s="1">
        <v>45231</v>
      </c>
      <c r="C343" s="1">
        <v>45250</v>
      </c>
      <c r="D343" t="s">
        <v>12</v>
      </c>
      <c r="E343">
        <v>559</v>
      </c>
      <c r="F343" s="8">
        <v>67.56</v>
      </c>
      <c r="G343">
        <v>15</v>
      </c>
      <c r="H343">
        <f t="shared" si="30"/>
        <v>19</v>
      </c>
      <c r="I343" s="9">
        <f t="shared" si="31"/>
        <v>37766.04</v>
      </c>
      <c r="J343" s="11">
        <f t="shared" si="32"/>
        <v>2.6833631484794274E-2</v>
      </c>
      <c r="K343" t="str">
        <f t="shared" si="33"/>
        <v>November</v>
      </c>
      <c r="L343" t="str">
        <f t="shared" si="34"/>
        <v>2023</v>
      </c>
    </row>
    <row r="344" spans="1:12" x14ac:dyDescent="0.3">
      <c r="A344" t="s">
        <v>49</v>
      </c>
      <c r="B344" s="1">
        <v>45103</v>
      </c>
      <c r="C344" s="1">
        <v>45106</v>
      </c>
      <c r="D344" t="s">
        <v>13</v>
      </c>
      <c r="E344">
        <v>1546</v>
      </c>
      <c r="F344" s="8">
        <v>78.88</v>
      </c>
      <c r="G344">
        <v>38</v>
      </c>
      <c r="H344">
        <f t="shared" si="30"/>
        <v>3</v>
      </c>
      <c r="I344" s="9">
        <f t="shared" si="31"/>
        <v>121948.48</v>
      </c>
      <c r="J344" s="11">
        <f t="shared" si="32"/>
        <v>2.4579560155239329E-2</v>
      </c>
      <c r="K344" t="str">
        <f t="shared" si="33"/>
        <v>June</v>
      </c>
      <c r="L344" t="str">
        <f t="shared" si="34"/>
        <v>2023</v>
      </c>
    </row>
    <row r="345" spans="1:12" x14ac:dyDescent="0.3">
      <c r="A345" t="s">
        <v>49</v>
      </c>
      <c r="B345" s="1">
        <v>44935</v>
      </c>
      <c r="C345" s="1">
        <v>44954</v>
      </c>
      <c r="D345" t="s">
        <v>12</v>
      </c>
      <c r="E345">
        <v>1413</v>
      </c>
      <c r="F345" s="8">
        <v>70.47</v>
      </c>
      <c r="G345">
        <v>0</v>
      </c>
      <c r="H345">
        <f t="shared" si="30"/>
        <v>19</v>
      </c>
      <c r="I345" s="9">
        <f t="shared" si="31"/>
        <v>99574.11</v>
      </c>
      <c r="J345" s="11">
        <f t="shared" si="32"/>
        <v>0</v>
      </c>
      <c r="K345" t="str">
        <f t="shared" si="33"/>
        <v>January</v>
      </c>
      <c r="L345" t="str">
        <f t="shared" si="34"/>
        <v>2023</v>
      </c>
    </row>
    <row r="346" spans="1:12" x14ac:dyDescent="0.3">
      <c r="A346" t="s">
        <v>48</v>
      </c>
      <c r="B346" s="1">
        <v>45245</v>
      </c>
      <c r="C346" s="1">
        <v>45253</v>
      </c>
      <c r="D346" t="s">
        <v>9</v>
      </c>
      <c r="E346">
        <v>202</v>
      </c>
      <c r="F346" s="8">
        <v>81.75</v>
      </c>
      <c r="G346">
        <v>37</v>
      </c>
      <c r="H346">
        <f t="shared" si="30"/>
        <v>8</v>
      </c>
      <c r="I346" s="9">
        <f t="shared" si="31"/>
        <v>16513.5</v>
      </c>
      <c r="J346" s="11">
        <f t="shared" si="32"/>
        <v>0.18316831683168316</v>
      </c>
      <c r="K346" t="str">
        <f t="shared" si="33"/>
        <v>November</v>
      </c>
      <c r="L346" t="str">
        <f t="shared" si="34"/>
        <v>2023</v>
      </c>
    </row>
    <row r="347" spans="1:12" x14ac:dyDescent="0.3">
      <c r="A347" t="s">
        <v>50</v>
      </c>
      <c r="B347" s="1">
        <v>45129</v>
      </c>
      <c r="C347" s="1">
        <v>45135</v>
      </c>
      <c r="D347" t="s">
        <v>11</v>
      </c>
      <c r="E347">
        <v>1934</v>
      </c>
      <c r="F347" s="8">
        <v>25.86</v>
      </c>
      <c r="G347">
        <v>78</v>
      </c>
      <c r="H347">
        <f t="shared" si="30"/>
        <v>6</v>
      </c>
      <c r="I347" s="9">
        <f t="shared" si="31"/>
        <v>50013.24</v>
      </c>
      <c r="J347" s="11">
        <f t="shared" si="32"/>
        <v>4.0330920372285417E-2</v>
      </c>
      <c r="K347" t="str">
        <f t="shared" si="33"/>
        <v>July</v>
      </c>
      <c r="L347" t="str">
        <f t="shared" si="34"/>
        <v>2023</v>
      </c>
    </row>
    <row r="348" spans="1:12" x14ac:dyDescent="0.3">
      <c r="A348" t="s">
        <v>46</v>
      </c>
      <c r="B348" s="1">
        <v>44868</v>
      </c>
      <c r="C348" s="1">
        <v>44872</v>
      </c>
      <c r="D348" t="s">
        <v>9</v>
      </c>
      <c r="E348">
        <v>963</v>
      </c>
      <c r="F348" s="8">
        <v>64.959999999999994</v>
      </c>
      <c r="G348">
        <v>20</v>
      </c>
      <c r="H348">
        <f t="shared" si="30"/>
        <v>4</v>
      </c>
      <c r="I348" s="9">
        <f t="shared" si="31"/>
        <v>62556.479999999996</v>
      </c>
      <c r="J348" s="11">
        <f t="shared" si="32"/>
        <v>2.0768431983385256E-2</v>
      </c>
      <c r="K348" t="str">
        <f t="shared" si="33"/>
        <v>November</v>
      </c>
      <c r="L348" t="str">
        <f t="shared" si="34"/>
        <v>2022</v>
      </c>
    </row>
    <row r="349" spans="1:12" x14ac:dyDescent="0.3">
      <c r="A349" t="s">
        <v>50</v>
      </c>
      <c r="B349" s="1">
        <v>45241</v>
      </c>
      <c r="C349" s="1">
        <v>45248</v>
      </c>
      <c r="D349" t="s">
        <v>10</v>
      </c>
      <c r="E349">
        <v>1969</v>
      </c>
      <c r="F349" s="8">
        <v>71.709999999999994</v>
      </c>
      <c r="G349">
        <v>0</v>
      </c>
      <c r="H349">
        <f t="shared" si="30"/>
        <v>7</v>
      </c>
      <c r="I349" s="9">
        <f t="shared" si="31"/>
        <v>141196.99</v>
      </c>
      <c r="J349" s="11">
        <f t="shared" si="32"/>
        <v>0</v>
      </c>
      <c r="K349" t="str">
        <f t="shared" si="33"/>
        <v>November</v>
      </c>
      <c r="L349" t="str">
        <f t="shared" si="34"/>
        <v>2023</v>
      </c>
    </row>
    <row r="350" spans="1:12" x14ac:dyDescent="0.3">
      <c r="A350" t="s">
        <v>48</v>
      </c>
      <c r="B350" s="1">
        <v>44699</v>
      </c>
      <c r="C350" s="1">
        <v>44704</v>
      </c>
      <c r="D350" t="s">
        <v>12</v>
      </c>
      <c r="E350">
        <v>387</v>
      </c>
      <c r="F350" s="8">
        <v>77.81</v>
      </c>
      <c r="G350">
        <v>67</v>
      </c>
      <c r="H350">
        <f t="shared" si="30"/>
        <v>5</v>
      </c>
      <c r="I350" s="9">
        <f t="shared" si="31"/>
        <v>30112.47</v>
      </c>
      <c r="J350" s="11">
        <f t="shared" si="32"/>
        <v>0.1731266149870801</v>
      </c>
      <c r="K350" t="str">
        <f t="shared" si="33"/>
        <v>May</v>
      </c>
      <c r="L350" t="str">
        <f t="shared" si="34"/>
        <v>2022</v>
      </c>
    </row>
    <row r="351" spans="1:12" x14ac:dyDescent="0.3">
      <c r="A351" t="s">
        <v>47</v>
      </c>
      <c r="B351" s="1">
        <v>44832</v>
      </c>
      <c r="C351" s="1">
        <v>44837</v>
      </c>
      <c r="D351" t="s">
        <v>13</v>
      </c>
      <c r="E351">
        <v>1779</v>
      </c>
      <c r="F351" s="8">
        <v>97.86</v>
      </c>
      <c r="G351">
        <v>176</v>
      </c>
      <c r="H351">
        <f t="shared" si="30"/>
        <v>5</v>
      </c>
      <c r="I351" s="9">
        <f t="shared" si="31"/>
        <v>174092.94</v>
      </c>
      <c r="J351" s="11">
        <f t="shared" si="32"/>
        <v>9.8931984260820685E-2</v>
      </c>
      <c r="K351" t="str">
        <f t="shared" si="33"/>
        <v>September</v>
      </c>
      <c r="L351" t="str">
        <f t="shared" si="34"/>
        <v>2022</v>
      </c>
    </row>
    <row r="352" spans="1:12" x14ac:dyDescent="0.3">
      <c r="A352" t="s">
        <v>50</v>
      </c>
      <c r="B352" s="1">
        <v>44680</v>
      </c>
      <c r="C352" s="1">
        <v>44686</v>
      </c>
      <c r="D352" t="s">
        <v>10</v>
      </c>
      <c r="E352">
        <v>871</v>
      </c>
      <c r="F352" s="8">
        <v>94.7</v>
      </c>
      <c r="G352">
        <v>46</v>
      </c>
      <c r="H352">
        <f t="shared" si="30"/>
        <v>6</v>
      </c>
      <c r="I352" s="9">
        <f t="shared" si="31"/>
        <v>82483.7</v>
      </c>
      <c r="J352" s="11">
        <f t="shared" si="32"/>
        <v>5.2812858783008038E-2</v>
      </c>
      <c r="K352" t="str">
        <f t="shared" si="33"/>
        <v>April</v>
      </c>
      <c r="L352" t="str">
        <f t="shared" si="34"/>
        <v>2022</v>
      </c>
    </row>
    <row r="353" spans="1:12" x14ac:dyDescent="0.3">
      <c r="A353" t="s">
        <v>49</v>
      </c>
      <c r="B353" s="1">
        <v>44671</v>
      </c>
      <c r="C353" s="1">
        <v>44674</v>
      </c>
      <c r="D353" t="s">
        <v>13</v>
      </c>
      <c r="E353">
        <v>1236</v>
      </c>
      <c r="F353" s="8">
        <v>51.33</v>
      </c>
      <c r="G353">
        <v>25</v>
      </c>
      <c r="H353">
        <f t="shared" si="30"/>
        <v>3</v>
      </c>
      <c r="I353" s="9">
        <f t="shared" si="31"/>
        <v>63443.88</v>
      </c>
      <c r="J353" s="11">
        <f t="shared" si="32"/>
        <v>2.0226537216828478E-2</v>
      </c>
      <c r="K353" t="str">
        <f t="shared" si="33"/>
        <v>April</v>
      </c>
      <c r="L353" t="str">
        <f t="shared" si="34"/>
        <v>2022</v>
      </c>
    </row>
    <row r="354" spans="1:12" x14ac:dyDescent="0.3">
      <c r="A354" t="s">
        <v>48</v>
      </c>
      <c r="B354" s="1">
        <v>45128</v>
      </c>
      <c r="C354" s="1">
        <v>45144</v>
      </c>
      <c r="D354" t="s">
        <v>13</v>
      </c>
      <c r="E354">
        <v>1793</v>
      </c>
      <c r="F354" s="8">
        <v>22.01</v>
      </c>
      <c r="G354">
        <v>285</v>
      </c>
      <c r="H354">
        <f t="shared" si="30"/>
        <v>16</v>
      </c>
      <c r="I354" s="9">
        <f t="shared" si="31"/>
        <v>39463.93</v>
      </c>
      <c r="J354" s="11">
        <f t="shared" si="32"/>
        <v>0.15895147796988288</v>
      </c>
      <c r="K354" t="str">
        <f t="shared" si="33"/>
        <v>July</v>
      </c>
      <c r="L354" t="str">
        <f t="shared" si="34"/>
        <v>2023</v>
      </c>
    </row>
    <row r="355" spans="1:12" x14ac:dyDescent="0.3">
      <c r="A355" t="s">
        <v>48</v>
      </c>
      <c r="B355" s="1">
        <v>44721</v>
      </c>
      <c r="C355" s="1">
        <v>44740</v>
      </c>
      <c r="D355" t="s">
        <v>10</v>
      </c>
      <c r="E355">
        <v>1006</v>
      </c>
      <c r="F355" s="8">
        <v>101.1</v>
      </c>
      <c r="G355">
        <v>139</v>
      </c>
      <c r="H355">
        <f t="shared" si="30"/>
        <v>19</v>
      </c>
      <c r="I355" s="9">
        <f t="shared" si="31"/>
        <v>101706.59999999999</v>
      </c>
      <c r="J355" s="11">
        <f t="shared" si="32"/>
        <v>0.13817097415506957</v>
      </c>
      <c r="K355" t="str">
        <f t="shared" si="33"/>
        <v>June</v>
      </c>
      <c r="L355" t="str">
        <f t="shared" si="34"/>
        <v>2022</v>
      </c>
    </row>
    <row r="356" spans="1:12" x14ac:dyDescent="0.3">
      <c r="A356" t="s">
        <v>47</v>
      </c>
      <c r="B356" s="1">
        <v>44840</v>
      </c>
      <c r="C356" s="1">
        <v>44855</v>
      </c>
      <c r="D356" t="s">
        <v>13</v>
      </c>
      <c r="E356">
        <v>1754</v>
      </c>
      <c r="F356" s="8">
        <v>89.35</v>
      </c>
      <c r="G356">
        <v>161</v>
      </c>
      <c r="H356">
        <f t="shared" si="30"/>
        <v>15</v>
      </c>
      <c r="I356" s="9">
        <f t="shared" si="31"/>
        <v>156719.9</v>
      </c>
      <c r="J356" s="11">
        <f t="shared" si="32"/>
        <v>9.1790193842645376E-2</v>
      </c>
      <c r="K356" t="str">
        <f t="shared" si="33"/>
        <v>October</v>
      </c>
      <c r="L356" t="str">
        <f t="shared" si="34"/>
        <v>2022</v>
      </c>
    </row>
    <row r="357" spans="1:12" x14ac:dyDescent="0.3">
      <c r="A357" t="s">
        <v>49</v>
      </c>
      <c r="B357" s="1">
        <v>44850</v>
      </c>
      <c r="C357" s="1">
        <v>44869</v>
      </c>
      <c r="D357" t="s">
        <v>13</v>
      </c>
      <c r="E357">
        <v>210</v>
      </c>
      <c r="F357" s="8">
        <v>22.17</v>
      </c>
      <c r="G357">
        <v>10</v>
      </c>
      <c r="H357">
        <f t="shared" si="30"/>
        <v>19</v>
      </c>
      <c r="I357" s="9">
        <f t="shared" si="31"/>
        <v>4655.7000000000007</v>
      </c>
      <c r="J357" s="11">
        <f t="shared" si="32"/>
        <v>4.7619047619047616E-2</v>
      </c>
      <c r="K357" t="str">
        <f t="shared" si="33"/>
        <v>October</v>
      </c>
      <c r="L357" t="str">
        <f t="shared" si="34"/>
        <v>2022</v>
      </c>
    </row>
    <row r="358" spans="1:12" x14ac:dyDescent="0.3">
      <c r="A358" t="s">
        <v>48</v>
      </c>
      <c r="B358" s="1">
        <v>45181</v>
      </c>
      <c r="C358" s="1">
        <v>45201</v>
      </c>
      <c r="D358" t="s">
        <v>10</v>
      </c>
      <c r="E358">
        <v>1653</v>
      </c>
      <c r="F358" s="8">
        <v>102.16</v>
      </c>
      <c r="G358">
        <v>217</v>
      </c>
      <c r="H358">
        <f t="shared" si="30"/>
        <v>20</v>
      </c>
      <c r="I358" s="9">
        <f t="shared" si="31"/>
        <v>168870.47999999998</v>
      </c>
      <c r="J358" s="11">
        <f t="shared" si="32"/>
        <v>0.13127646702964307</v>
      </c>
      <c r="K358" t="str">
        <f t="shared" si="33"/>
        <v>September</v>
      </c>
      <c r="L358" t="str">
        <f t="shared" si="34"/>
        <v>2023</v>
      </c>
    </row>
    <row r="359" spans="1:12" x14ac:dyDescent="0.3">
      <c r="A359" t="s">
        <v>46</v>
      </c>
      <c r="B359" s="1">
        <v>44777</v>
      </c>
      <c r="C359" s="1">
        <v>44788</v>
      </c>
      <c r="D359" t="s">
        <v>10</v>
      </c>
      <c r="E359">
        <v>850</v>
      </c>
      <c r="F359" s="8">
        <v>91.38</v>
      </c>
      <c r="G359">
        <v>24</v>
      </c>
      <c r="H359">
        <f t="shared" si="30"/>
        <v>11</v>
      </c>
      <c r="I359" s="9">
        <f t="shared" si="31"/>
        <v>77673</v>
      </c>
      <c r="J359" s="11">
        <f t="shared" si="32"/>
        <v>2.823529411764706E-2</v>
      </c>
      <c r="K359" t="str">
        <f t="shared" si="33"/>
        <v>August</v>
      </c>
      <c r="L359" t="str">
        <f t="shared" si="34"/>
        <v>2022</v>
      </c>
    </row>
    <row r="360" spans="1:12" x14ac:dyDescent="0.3">
      <c r="A360" t="s">
        <v>49</v>
      </c>
      <c r="B360" s="1">
        <v>44913</v>
      </c>
      <c r="C360" s="1">
        <v>44916</v>
      </c>
      <c r="D360" t="s">
        <v>12</v>
      </c>
      <c r="E360">
        <v>447</v>
      </c>
      <c r="F360" s="8">
        <v>59.81</v>
      </c>
      <c r="G360">
        <v>13</v>
      </c>
      <c r="H360">
        <f t="shared" si="30"/>
        <v>3</v>
      </c>
      <c r="I360" s="9">
        <f t="shared" si="31"/>
        <v>26735.07</v>
      </c>
      <c r="J360" s="11">
        <f t="shared" si="32"/>
        <v>2.9082774049217001E-2</v>
      </c>
      <c r="K360" t="str">
        <f t="shared" si="33"/>
        <v>December</v>
      </c>
      <c r="L360" t="str">
        <f t="shared" si="34"/>
        <v>2022</v>
      </c>
    </row>
    <row r="361" spans="1:12" x14ac:dyDescent="0.3">
      <c r="A361" t="s">
        <v>50</v>
      </c>
      <c r="B361" s="1">
        <v>44770</v>
      </c>
      <c r="C361" s="1">
        <v>44780</v>
      </c>
      <c r="D361" t="s">
        <v>9</v>
      </c>
      <c r="E361">
        <v>1350</v>
      </c>
      <c r="F361" s="8">
        <v>65.11</v>
      </c>
      <c r="G361">
        <v>71</v>
      </c>
      <c r="H361">
        <f t="shared" si="30"/>
        <v>10</v>
      </c>
      <c r="I361" s="9">
        <f t="shared" si="31"/>
        <v>87898.5</v>
      </c>
      <c r="J361" s="11">
        <f t="shared" si="32"/>
        <v>5.2592592592592594E-2</v>
      </c>
      <c r="K361" t="str">
        <f t="shared" si="33"/>
        <v>July</v>
      </c>
      <c r="L361" t="str">
        <f t="shared" si="34"/>
        <v>2022</v>
      </c>
    </row>
    <row r="362" spans="1:12" x14ac:dyDescent="0.3">
      <c r="A362" t="s">
        <v>47</v>
      </c>
      <c r="B362" s="1">
        <v>45265</v>
      </c>
      <c r="C362" s="1">
        <v>45284</v>
      </c>
      <c r="D362" t="s">
        <v>9</v>
      </c>
      <c r="E362">
        <v>865</v>
      </c>
      <c r="F362" s="8">
        <v>51.19</v>
      </c>
      <c r="G362">
        <v>83</v>
      </c>
      <c r="H362">
        <f t="shared" si="30"/>
        <v>19</v>
      </c>
      <c r="I362" s="9">
        <f t="shared" si="31"/>
        <v>44279.35</v>
      </c>
      <c r="J362" s="11">
        <f t="shared" si="32"/>
        <v>9.595375722543352E-2</v>
      </c>
      <c r="K362" t="str">
        <f t="shared" si="33"/>
        <v>December</v>
      </c>
      <c r="L362" t="str">
        <f t="shared" si="34"/>
        <v>2023</v>
      </c>
    </row>
    <row r="363" spans="1:12" x14ac:dyDescent="0.3">
      <c r="A363" t="s">
        <v>46</v>
      </c>
      <c r="B363" s="1">
        <v>45211</v>
      </c>
      <c r="C363" s="1">
        <v>45228</v>
      </c>
      <c r="D363" t="s">
        <v>10</v>
      </c>
      <c r="E363">
        <v>1989</v>
      </c>
      <c r="F363" s="8">
        <v>16.5</v>
      </c>
      <c r="G363">
        <v>57</v>
      </c>
      <c r="H363">
        <f t="shared" si="30"/>
        <v>17</v>
      </c>
      <c r="I363" s="9">
        <f t="shared" si="31"/>
        <v>32818.5</v>
      </c>
      <c r="J363" s="11">
        <f t="shared" si="32"/>
        <v>2.8657616892911009E-2</v>
      </c>
      <c r="K363" t="str">
        <f t="shared" si="33"/>
        <v>October</v>
      </c>
      <c r="L363" t="str">
        <f t="shared" si="34"/>
        <v>2023</v>
      </c>
    </row>
    <row r="364" spans="1:12" x14ac:dyDescent="0.3">
      <c r="A364" t="s">
        <v>46</v>
      </c>
      <c r="B364" s="1">
        <v>44832</v>
      </c>
      <c r="C364" s="1">
        <v>44847</v>
      </c>
      <c r="D364" t="s">
        <v>9</v>
      </c>
      <c r="E364">
        <v>1577</v>
      </c>
      <c r="F364" s="8">
        <v>41.77</v>
      </c>
      <c r="G364">
        <v>32</v>
      </c>
      <c r="H364">
        <f t="shared" si="30"/>
        <v>15</v>
      </c>
      <c r="I364" s="9">
        <f t="shared" si="31"/>
        <v>65871.290000000008</v>
      </c>
      <c r="J364" s="11">
        <f t="shared" si="32"/>
        <v>2.0291693088142042E-2</v>
      </c>
      <c r="K364" t="str">
        <f t="shared" si="33"/>
        <v>September</v>
      </c>
      <c r="L364" t="str">
        <f t="shared" si="34"/>
        <v>2022</v>
      </c>
    </row>
    <row r="365" spans="1:12" x14ac:dyDescent="0.3">
      <c r="A365" t="s">
        <v>50</v>
      </c>
      <c r="B365" s="1">
        <v>45079</v>
      </c>
      <c r="C365" s="1">
        <v>45081</v>
      </c>
      <c r="D365" t="s">
        <v>11</v>
      </c>
      <c r="E365">
        <v>1969</v>
      </c>
      <c r="F365" s="8">
        <v>89.25</v>
      </c>
      <c r="G365">
        <v>108</v>
      </c>
      <c r="H365">
        <f t="shared" si="30"/>
        <v>2</v>
      </c>
      <c r="I365" s="9">
        <f t="shared" si="31"/>
        <v>175733.25</v>
      </c>
      <c r="J365" s="11">
        <f t="shared" si="32"/>
        <v>5.485017775520569E-2</v>
      </c>
      <c r="K365" t="str">
        <f t="shared" si="33"/>
        <v>June</v>
      </c>
      <c r="L365" t="str">
        <f t="shared" si="34"/>
        <v>2023</v>
      </c>
    </row>
    <row r="366" spans="1:12" x14ac:dyDescent="0.3">
      <c r="A366" t="s">
        <v>47</v>
      </c>
      <c r="B366" s="1">
        <v>45062</v>
      </c>
      <c r="C366" s="1">
        <v>45072</v>
      </c>
      <c r="D366" t="s">
        <v>11</v>
      </c>
      <c r="E366">
        <v>1465</v>
      </c>
      <c r="F366" s="8">
        <v>11.25</v>
      </c>
      <c r="G366">
        <v>151</v>
      </c>
      <c r="H366">
        <f t="shared" si="30"/>
        <v>10</v>
      </c>
      <c r="I366" s="9">
        <f t="shared" si="31"/>
        <v>16481.25</v>
      </c>
      <c r="J366" s="11">
        <f t="shared" si="32"/>
        <v>0.10307167235494881</v>
      </c>
      <c r="K366" t="str">
        <f t="shared" si="33"/>
        <v>May</v>
      </c>
      <c r="L366" t="str">
        <f t="shared" si="34"/>
        <v>2023</v>
      </c>
    </row>
    <row r="367" spans="1:12" x14ac:dyDescent="0.3">
      <c r="A367" t="s">
        <v>48</v>
      </c>
      <c r="B367" s="1">
        <v>44819</v>
      </c>
      <c r="C367" s="1">
        <v>44822</v>
      </c>
      <c r="D367" t="s">
        <v>11</v>
      </c>
      <c r="E367">
        <v>1208</v>
      </c>
      <c r="F367" s="8">
        <v>41.62</v>
      </c>
      <c r="G367">
        <v>0</v>
      </c>
      <c r="H367">
        <f t="shared" si="30"/>
        <v>3</v>
      </c>
      <c r="I367" s="9">
        <f t="shared" si="31"/>
        <v>50276.959999999999</v>
      </c>
      <c r="J367" s="11">
        <f t="shared" si="32"/>
        <v>0</v>
      </c>
      <c r="K367" t="str">
        <f t="shared" si="33"/>
        <v>September</v>
      </c>
      <c r="L367" t="str">
        <f t="shared" si="34"/>
        <v>2022</v>
      </c>
    </row>
    <row r="368" spans="1:12" x14ac:dyDescent="0.3">
      <c r="A368" t="s">
        <v>47</v>
      </c>
      <c r="B368" s="1">
        <v>44614</v>
      </c>
      <c r="C368" s="1">
        <v>44631</v>
      </c>
      <c r="D368" t="s">
        <v>12</v>
      </c>
      <c r="E368">
        <v>1268</v>
      </c>
      <c r="F368" s="8">
        <v>46.06</v>
      </c>
      <c r="G368">
        <v>123</v>
      </c>
      <c r="H368">
        <f t="shared" si="30"/>
        <v>17</v>
      </c>
      <c r="I368" s="9">
        <f t="shared" si="31"/>
        <v>58404.08</v>
      </c>
      <c r="J368" s="11">
        <f t="shared" si="32"/>
        <v>9.7003154574132486E-2</v>
      </c>
      <c r="K368" t="str">
        <f t="shared" si="33"/>
        <v>February</v>
      </c>
      <c r="L368" t="str">
        <f t="shared" si="34"/>
        <v>2022</v>
      </c>
    </row>
    <row r="369" spans="1:12" x14ac:dyDescent="0.3">
      <c r="A369" t="s">
        <v>48</v>
      </c>
      <c r="B369" s="1">
        <v>44656</v>
      </c>
      <c r="C369" s="1">
        <v>44675</v>
      </c>
      <c r="D369" t="s">
        <v>9</v>
      </c>
      <c r="E369">
        <v>450</v>
      </c>
      <c r="F369" s="8">
        <v>59.24</v>
      </c>
      <c r="G369">
        <v>68</v>
      </c>
      <c r="H369">
        <f t="shared" si="30"/>
        <v>19</v>
      </c>
      <c r="I369" s="9">
        <f t="shared" si="31"/>
        <v>26658</v>
      </c>
      <c r="J369" s="11">
        <f t="shared" si="32"/>
        <v>0.15111111111111111</v>
      </c>
      <c r="K369" t="str">
        <f t="shared" si="33"/>
        <v>April</v>
      </c>
      <c r="L369" t="str">
        <f t="shared" si="34"/>
        <v>2022</v>
      </c>
    </row>
    <row r="370" spans="1:12" x14ac:dyDescent="0.3">
      <c r="A370" t="s">
        <v>50</v>
      </c>
      <c r="B370" s="1">
        <v>45211</v>
      </c>
      <c r="C370" s="1">
        <v>45213</v>
      </c>
      <c r="D370" t="s">
        <v>13</v>
      </c>
      <c r="E370">
        <v>689</v>
      </c>
      <c r="F370" s="8">
        <v>102.53</v>
      </c>
      <c r="G370">
        <v>38</v>
      </c>
      <c r="H370">
        <f t="shared" si="30"/>
        <v>2</v>
      </c>
      <c r="I370" s="9">
        <f t="shared" si="31"/>
        <v>70643.17</v>
      </c>
      <c r="J370" s="11">
        <f t="shared" si="32"/>
        <v>5.5152394775036286E-2</v>
      </c>
      <c r="K370" t="str">
        <f t="shared" si="33"/>
        <v>October</v>
      </c>
      <c r="L370" t="str">
        <f t="shared" si="34"/>
        <v>2023</v>
      </c>
    </row>
    <row r="371" spans="1:12" x14ac:dyDescent="0.3">
      <c r="A371" t="s">
        <v>50</v>
      </c>
      <c r="B371" s="1">
        <v>44995</v>
      </c>
      <c r="C371" s="1">
        <v>45014</v>
      </c>
      <c r="D371" t="s">
        <v>10</v>
      </c>
      <c r="E371">
        <v>1106</v>
      </c>
      <c r="F371" s="8">
        <v>44.05</v>
      </c>
      <c r="G371">
        <v>51</v>
      </c>
      <c r="H371">
        <f t="shared" si="30"/>
        <v>19</v>
      </c>
      <c r="I371" s="9">
        <f t="shared" si="31"/>
        <v>48719.299999999996</v>
      </c>
      <c r="J371" s="11">
        <f t="shared" si="32"/>
        <v>4.6112115732368897E-2</v>
      </c>
      <c r="K371" t="str">
        <f t="shared" si="33"/>
        <v>March</v>
      </c>
      <c r="L371" t="str">
        <f t="shared" si="34"/>
        <v>2023</v>
      </c>
    </row>
    <row r="372" spans="1:12" x14ac:dyDescent="0.3">
      <c r="A372" t="s">
        <v>46</v>
      </c>
      <c r="B372" s="1">
        <v>44845</v>
      </c>
      <c r="C372" s="1">
        <v>44856</v>
      </c>
      <c r="D372" t="s">
        <v>9</v>
      </c>
      <c r="E372">
        <v>737</v>
      </c>
      <c r="F372" s="8">
        <v>43.08</v>
      </c>
      <c r="G372">
        <v>21</v>
      </c>
      <c r="H372">
        <f t="shared" si="30"/>
        <v>11</v>
      </c>
      <c r="I372" s="9">
        <f t="shared" si="31"/>
        <v>31749.96</v>
      </c>
      <c r="J372" s="11">
        <f t="shared" si="32"/>
        <v>2.8493894165535955E-2</v>
      </c>
      <c r="K372" t="str">
        <f t="shared" si="33"/>
        <v>October</v>
      </c>
      <c r="L372" t="str">
        <f t="shared" si="34"/>
        <v>2022</v>
      </c>
    </row>
    <row r="373" spans="1:12" x14ac:dyDescent="0.3">
      <c r="A373" t="s">
        <v>46</v>
      </c>
      <c r="B373" s="1">
        <v>44607</v>
      </c>
      <c r="C373" s="1">
        <v>44624</v>
      </c>
      <c r="D373" t="s">
        <v>12</v>
      </c>
      <c r="E373">
        <v>509</v>
      </c>
      <c r="F373" s="8">
        <v>76.760000000000005</v>
      </c>
      <c r="G373">
        <v>7</v>
      </c>
      <c r="H373">
        <f t="shared" si="30"/>
        <v>17</v>
      </c>
      <c r="I373" s="9">
        <f t="shared" si="31"/>
        <v>39070.840000000004</v>
      </c>
      <c r="J373" s="11">
        <f t="shared" si="32"/>
        <v>1.37524557956778E-2</v>
      </c>
      <c r="K373" t="str">
        <f t="shared" si="33"/>
        <v>February</v>
      </c>
      <c r="L373" t="str">
        <f t="shared" si="34"/>
        <v>2022</v>
      </c>
    </row>
    <row r="374" spans="1:12" x14ac:dyDescent="0.3">
      <c r="A374" t="s">
        <v>49</v>
      </c>
      <c r="B374" s="1">
        <v>44932</v>
      </c>
      <c r="C374" s="1">
        <v>44950</v>
      </c>
      <c r="D374" t="s">
        <v>13</v>
      </c>
      <c r="E374">
        <v>1114</v>
      </c>
      <c r="F374" s="8">
        <v>91.66</v>
      </c>
      <c r="G374">
        <v>35</v>
      </c>
      <c r="H374">
        <f t="shared" si="30"/>
        <v>18</v>
      </c>
      <c r="I374" s="9">
        <f t="shared" si="31"/>
        <v>102109.23999999999</v>
      </c>
      <c r="J374" s="11">
        <f t="shared" si="32"/>
        <v>3.141831238779174E-2</v>
      </c>
      <c r="K374" t="str">
        <f t="shared" si="33"/>
        <v>January</v>
      </c>
      <c r="L374" t="str">
        <f t="shared" si="34"/>
        <v>2023</v>
      </c>
    </row>
    <row r="375" spans="1:12" x14ac:dyDescent="0.3">
      <c r="A375" t="s">
        <v>50</v>
      </c>
      <c r="B375" s="1">
        <v>44903</v>
      </c>
      <c r="C375" s="1">
        <v>44914</v>
      </c>
      <c r="D375" t="s">
        <v>10</v>
      </c>
      <c r="E375">
        <v>1956</v>
      </c>
      <c r="F375" s="8">
        <v>31.88</v>
      </c>
      <c r="G375">
        <v>86</v>
      </c>
      <c r="H375">
        <f t="shared" si="30"/>
        <v>11</v>
      </c>
      <c r="I375" s="9">
        <f t="shared" si="31"/>
        <v>62357.279999999999</v>
      </c>
      <c r="J375" s="11">
        <f t="shared" si="32"/>
        <v>4.396728016359918E-2</v>
      </c>
      <c r="K375" t="str">
        <f t="shared" si="33"/>
        <v>December</v>
      </c>
      <c r="L375" t="str">
        <f t="shared" si="34"/>
        <v>2022</v>
      </c>
    </row>
    <row r="376" spans="1:12" x14ac:dyDescent="0.3">
      <c r="A376" t="s">
        <v>50</v>
      </c>
      <c r="B376" s="1">
        <v>45214</v>
      </c>
      <c r="C376" s="1">
        <v>45220</v>
      </c>
      <c r="D376" t="s">
        <v>10</v>
      </c>
      <c r="E376">
        <v>1448</v>
      </c>
      <c r="F376" s="8">
        <v>25.06</v>
      </c>
      <c r="G376">
        <v>84</v>
      </c>
      <c r="H376">
        <f t="shared" si="30"/>
        <v>6</v>
      </c>
      <c r="I376" s="9">
        <f t="shared" si="31"/>
        <v>36286.879999999997</v>
      </c>
      <c r="J376" s="11">
        <f t="shared" si="32"/>
        <v>5.8011049723756904E-2</v>
      </c>
      <c r="K376" t="str">
        <f t="shared" si="33"/>
        <v>October</v>
      </c>
      <c r="L376" t="str">
        <f t="shared" si="34"/>
        <v>2023</v>
      </c>
    </row>
    <row r="377" spans="1:12" x14ac:dyDescent="0.3">
      <c r="A377" t="s">
        <v>50</v>
      </c>
      <c r="B377" s="1">
        <v>44830</v>
      </c>
      <c r="C377" s="1">
        <v>44845</v>
      </c>
      <c r="D377" t="s">
        <v>11</v>
      </c>
      <c r="E377">
        <v>1095</v>
      </c>
      <c r="F377" s="8">
        <v>26.91</v>
      </c>
      <c r="G377">
        <v>53</v>
      </c>
      <c r="H377">
        <f t="shared" si="30"/>
        <v>15</v>
      </c>
      <c r="I377" s="9">
        <f t="shared" si="31"/>
        <v>29466.45</v>
      </c>
      <c r="J377" s="11">
        <f t="shared" si="32"/>
        <v>4.8401826484018265E-2</v>
      </c>
      <c r="K377" t="str">
        <f t="shared" si="33"/>
        <v>September</v>
      </c>
      <c r="L377" t="str">
        <f t="shared" si="34"/>
        <v>2022</v>
      </c>
    </row>
    <row r="378" spans="1:12" x14ac:dyDescent="0.3">
      <c r="A378" t="s">
        <v>47</v>
      </c>
      <c r="B378" s="1">
        <v>45014</v>
      </c>
      <c r="C378" s="1">
        <v>45034</v>
      </c>
      <c r="D378" t="s">
        <v>10</v>
      </c>
      <c r="E378">
        <v>1743</v>
      </c>
      <c r="F378" s="8">
        <v>51.04</v>
      </c>
      <c r="G378">
        <v>160</v>
      </c>
      <c r="H378">
        <f t="shared" si="30"/>
        <v>20</v>
      </c>
      <c r="I378" s="9">
        <f t="shared" si="31"/>
        <v>88962.72</v>
      </c>
      <c r="J378" s="11">
        <f t="shared" si="32"/>
        <v>9.1795754446356861E-2</v>
      </c>
      <c r="K378" t="str">
        <f t="shared" si="33"/>
        <v>March</v>
      </c>
      <c r="L378" t="str">
        <f t="shared" si="34"/>
        <v>2023</v>
      </c>
    </row>
    <row r="379" spans="1:12" x14ac:dyDescent="0.3">
      <c r="A379" t="s">
        <v>46</v>
      </c>
      <c r="B379" s="1">
        <v>45126</v>
      </c>
      <c r="C379" s="1">
        <v>45138</v>
      </c>
      <c r="D379" t="s">
        <v>12</v>
      </c>
      <c r="E379">
        <v>87</v>
      </c>
      <c r="F379" s="8">
        <v>100.65</v>
      </c>
      <c r="G379">
        <v>1</v>
      </c>
      <c r="H379">
        <f t="shared" si="30"/>
        <v>12</v>
      </c>
      <c r="I379" s="9">
        <f t="shared" si="31"/>
        <v>8756.5500000000011</v>
      </c>
      <c r="J379" s="11">
        <f t="shared" si="32"/>
        <v>1.1494252873563218E-2</v>
      </c>
      <c r="K379" t="str">
        <f t="shared" si="33"/>
        <v>July</v>
      </c>
      <c r="L379" t="str">
        <f t="shared" si="34"/>
        <v>2023</v>
      </c>
    </row>
    <row r="380" spans="1:12" x14ac:dyDescent="0.3">
      <c r="A380" t="s">
        <v>48</v>
      </c>
      <c r="B380" s="1">
        <v>44999</v>
      </c>
      <c r="C380" s="1">
        <v>45010</v>
      </c>
      <c r="D380" t="s">
        <v>12</v>
      </c>
      <c r="E380">
        <v>1438</v>
      </c>
      <c r="F380" s="8">
        <v>66.61</v>
      </c>
      <c r="G380">
        <v>237</v>
      </c>
      <c r="H380">
        <f t="shared" si="30"/>
        <v>11</v>
      </c>
      <c r="I380" s="9">
        <f t="shared" si="31"/>
        <v>95785.18</v>
      </c>
      <c r="J380" s="11">
        <f t="shared" si="32"/>
        <v>0.16481223922114047</v>
      </c>
      <c r="K380" t="str">
        <f t="shared" si="33"/>
        <v>March</v>
      </c>
      <c r="L380" t="str">
        <f t="shared" si="34"/>
        <v>2023</v>
      </c>
    </row>
    <row r="381" spans="1:12" x14ac:dyDescent="0.3">
      <c r="A381" t="s">
        <v>48</v>
      </c>
      <c r="B381" s="1">
        <v>45136</v>
      </c>
      <c r="C381" s="1">
        <v>45138</v>
      </c>
      <c r="D381" t="s">
        <v>9</v>
      </c>
      <c r="E381">
        <v>612</v>
      </c>
      <c r="F381" s="8">
        <v>72.930000000000007</v>
      </c>
      <c r="G381">
        <v>99</v>
      </c>
      <c r="H381">
        <f t="shared" si="30"/>
        <v>2</v>
      </c>
      <c r="I381" s="9">
        <f t="shared" si="31"/>
        <v>44633.16</v>
      </c>
      <c r="J381" s="11">
        <f t="shared" si="32"/>
        <v>0.16176470588235295</v>
      </c>
      <c r="K381" t="str">
        <f t="shared" si="33"/>
        <v>July</v>
      </c>
      <c r="L381" t="str">
        <f t="shared" si="34"/>
        <v>2023</v>
      </c>
    </row>
    <row r="382" spans="1:12" x14ac:dyDescent="0.3">
      <c r="A382" t="s">
        <v>49</v>
      </c>
      <c r="B382" s="1">
        <v>44952</v>
      </c>
      <c r="C382" s="1">
        <v>44961</v>
      </c>
      <c r="D382" t="s">
        <v>9</v>
      </c>
      <c r="E382">
        <v>441</v>
      </c>
      <c r="F382" s="8">
        <v>63.25</v>
      </c>
      <c r="G382">
        <v>16</v>
      </c>
      <c r="H382">
        <f t="shared" si="30"/>
        <v>9</v>
      </c>
      <c r="I382" s="9">
        <f t="shared" si="31"/>
        <v>27893.25</v>
      </c>
      <c r="J382" s="11">
        <f t="shared" si="32"/>
        <v>3.6281179138321996E-2</v>
      </c>
      <c r="K382" t="str">
        <f t="shared" si="33"/>
        <v>January</v>
      </c>
      <c r="L382" t="str">
        <f t="shared" si="34"/>
        <v>2023</v>
      </c>
    </row>
    <row r="383" spans="1:12" x14ac:dyDescent="0.3">
      <c r="A383" t="s">
        <v>49</v>
      </c>
      <c r="B383" s="1">
        <v>44676</v>
      </c>
      <c r="C383" s="1">
        <v>44680</v>
      </c>
      <c r="D383" t="s">
        <v>11</v>
      </c>
      <c r="E383">
        <v>1849</v>
      </c>
      <c r="F383" s="8">
        <v>70.760000000000005</v>
      </c>
      <c r="G383">
        <v>51</v>
      </c>
      <c r="H383">
        <f t="shared" si="30"/>
        <v>4</v>
      </c>
      <c r="I383" s="9">
        <f t="shared" si="31"/>
        <v>130835.24</v>
      </c>
      <c r="J383" s="11">
        <f t="shared" si="32"/>
        <v>2.7582477014602487E-2</v>
      </c>
      <c r="K383" t="str">
        <f t="shared" si="33"/>
        <v>April</v>
      </c>
      <c r="L383" t="str">
        <f t="shared" si="34"/>
        <v>2022</v>
      </c>
    </row>
    <row r="384" spans="1:12" x14ac:dyDescent="0.3">
      <c r="A384" t="s">
        <v>49</v>
      </c>
      <c r="B384" s="1">
        <v>44639</v>
      </c>
      <c r="C384" s="1">
        <v>44652</v>
      </c>
      <c r="D384" t="s">
        <v>10</v>
      </c>
      <c r="E384">
        <v>1356</v>
      </c>
      <c r="F384" s="8">
        <v>26.28</v>
      </c>
      <c r="G384">
        <v>47</v>
      </c>
      <c r="H384">
        <f t="shared" si="30"/>
        <v>13</v>
      </c>
      <c r="I384" s="9">
        <f t="shared" si="31"/>
        <v>35635.68</v>
      </c>
      <c r="J384" s="11">
        <f t="shared" si="32"/>
        <v>3.466076696165192E-2</v>
      </c>
      <c r="K384" t="str">
        <f t="shared" si="33"/>
        <v>March</v>
      </c>
      <c r="L384" t="str">
        <f t="shared" si="34"/>
        <v>2022</v>
      </c>
    </row>
    <row r="385" spans="1:12" x14ac:dyDescent="0.3">
      <c r="A385" t="s">
        <v>48</v>
      </c>
      <c r="B385" s="1">
        <v>45269</v>
      </c>
      <c r="C385" s="1">
        <v>45289</v>
      </c>
      <c r="D385" t="s">
        <v>12</v>
      </c>
      <c r="E385">
        <v>76</v>
      </c>
      <c r="F385" s="8">
        <v>107.59</v>
      </c>
      <c r="G385">
        <v>10</v>
      </c>
      <c r="H385">
        <f t="shared" si="30"/>
        <v>20</v>
      </c>
      <c r="I385" s="9">
        <f t="shared" si="31"/>
        <v>8176.84</v>
      </c>
      <c r="J385" s="11">
        <f t="shared" si="32"/>
        <v>0.13157894736842105</v>
      </c>
      <c r="K385" t="str">
        <f t="shared" si="33"/>
        <v>December</v>
      </c>
      <c r="L385" t="str">
        <f t="shared" si="34"/>
        <v>2023</v>
      </c>
    </row>
    <row r="386" spans="1:12" x14ac:dyDescent="0.3">
      <c r="A386" t="s">
        <v>46</v>
      </c>
      <c r="B386" s="1">
        <v>44714</v>
      </c>
      <c r="C386" s="1">
        <v>44725</v>
      </c>
      <c r="D386" t="s">
        <v>11</v>
      </c>
      <c r="E386">
        <v>275</v>
      </c>
      <c r="F386" s="8">
        <v>23.96</v>
      </c>
      <c r="G386">
        <v>0</v>
      </c>
      <c r="H386">
        <f t="shared" si="30"/>
        <v>11</v>
      </c>
      <c r="I386" s="9">
        <f t="shared" si="31"/>
        <v>6589</v>
      </c>
      <c r="J386" s="11">
        <f t="shared" si="32"/>
        <v>0</v>
      </c>
      <c r="K386" t="str">
        <f t="shared" si="33"/>
        <v>June</v>
      </c>
      <c r="L386" t="str">
        <f t="shared" si="34"/>
        <v>2022</v>
      </c>
    </row>
    <row r="387" spans="1:12" x14ac:dyDescent="0.3">
      <c r="A387" t="s">
        <v>46</v>
      </c>
      <c r="B387" s="1">
        <v>45120</v>
      </c>
      <c r="C387" s="1">
        <v>45125</v>
      </c>
      <c r="D387" t="s">
        <v>11</v>
      </c>
      <c r="E387">
        <v>1350</v>
      </c>
      <c r="F387" s="8">
        <v>51.57</v>
      </c>
      <c r="G387">
        <v>0</v>
      </c>
      <c r="H387">
        <f t="shared" si="30"/>
        <v>5</v>
      </c>
      <c r="I387" s="9">
        <f t="shared" si="31"/>
        <v>69619.5</v>
      </c>
      <c r="J387" s="11">
        <f t="shared" si="32"/>
        <v>0</v>
      </c>
      <c r="K387" t="str">
        <f t="shared" si="33"/>
        <v>July</v>
      </c>
      <c r="L387" t="str">
        <f t="shared" si="34"/>
        <v>2023</v>
      </c>
    </row>
    <row r="388" spans="1:12" x14ac:dyDescent="0.3">
      <c r="A388" t="s">
        <v>49</v>
      </c>
      <c r="B388" s="1">
        <v>44573</v>
      </c>
      <c r="C388" s="1">
        <v>44578</v>
      </c>
      <c r="D388" t="s">
        <v>9</v>
      </c>
      <c r="E388">
        <v>1563</v>
      </c>
      <c r="F388" s="8">
        <v>77.959999999999994</v>
      </c>
      <c r="G388">
        <v>41</v>
      </c>
      <c r="H388">
        <f t="shared" ref="H388:H451" si="35" xml:space="preserve"> C388-B388</f>
        <v>5</v>
      </c>
      <c r="I388" s="9">
        <f t="shared" ref="I388:I451" si="36">F388*E388</f>
        <v>121851.48</v>
      </c>
      <c r="J388" s="11">
        <f t="shared" ref="J388:J451" si="37">(G388/E388)</f>
        <v>2.6231605886116442E-2</v>
      </c>
      <c r="K388" t="str">
        <f t="shared" ref="K388:K451" si="38">TEXT(B388,"mmmm")</f>
        <v>January</v>
      </c>
      <c r="L388" t="str">
        <f t="shared" ref="L388:L451" si="39">TEXT(B388,"yyyy")</f>
        <v>2022</v>
      </c>
    </row>
    <row r="389" spans="1:12" x14ac:dyDescent="0.3">
      <c r="A389" t="s">
        <v>49</v>
      </c>
      <c r="B389" s="1">
        <v>45158</v>
      </c>
      <c r="C389" s="1">
        <v>45161</v>
      </c>
      <c r="D389" t="s">
        <v>13</v>
      </c>
      <c r="E389">
        <v>333</v>
      </c>
      <c r="F389" s="8">
        <v>60.44</v>
      </c>
      <c r="G389">
        <v>8</v>
      </c>
      <c r="H389">
        <f t="shared" si="35"/>
        <v>3</v>
      </c>
      <c r="I389" s="9">
        <f t="shared" si="36"/>
        <v>20126.52</v>
      </c>
      <c r="J389" s="11">
        <f t="shared" si="37"/>
        <v>2.4024024024024024E-2</v>
      </c>
      <c r="K389" t="str">
        <f t="shared" si="38"/>
        <v>August</v>
      </c>
      <c r="L389" t="str">
        <f t="shared" si="39"/>
        <v>2023</v>
      </c>
    </row>
    <row r="390" spans="1:12" x14ac:dyDescent="0.3">
      <c r="A390" t="s">
        <v>46</v>
      </c>
      <c r="B390" s="1">
        <v>45127</v>
      </c>
      <c r="C390" s="1">
        <v>45140</v>
      </c>
      <c r="D390" t="s">
        <v>13</v>
      </c>
      <c r="E390">
        <v>928</v>
      </c>
      <c r="F390" s="8">
        <v>69.31</v>
      </c>
      <c r="G390">
        <v>20</v>
      </c>
      <c r="H390">
        <f t="shared" si="35"/>
        <v>13</v>
      </c>
      <c r="I390" s="9">
        <f t="shared" si="36"/>
        <v>64319.68</v>
      </c>
      <c r="J390" s="11">
        <f t="shared" si="37"/>
        <v>2.1551724137931036E-2</v>
      </c>
      <c r="K390" t="str">
        <f t="shared" si="38"/>
        <v>July</v>
      </c>
      <c r="L390" t="str">
        <f t="shared" si="39"/>
        <v>2023</v>
      </c>
    </row>
    <row r="391" spans="1:12" x14ac:dyDescent="0.3">
      <c r="A391" t="s">
        <v>49</v>
      </c>
      <c r="B391" s="1">
        <v>44713</v>
      </c>
      <c r="C391" s="1">
        <v>44724</v>
      </c>
      <c r="D391" t="s">
        <v>10</v>
      </c>
      <c r="E391">
        <v>1009</v>
      </c>
      <c r="F391" s="8">
        <v>16.440000000000001</v>
      </c>
      <c r="G391">
        <v>0</v>
      </c>
      <c r="H391">
        <f t="shared" si="35"/>
        <v>11</v>
      </c>
      <c r="I391" s="9">
        <f t="shared" si="36"/>
        <v>16587.960000000003</v>
      </c>
      <c r="J391" s="11">
        <f t="shared" si="37"/>
        <v>0</v>
      </c>
      <c r="K391" t="str">
        <f t="shared" si="38"/>
        <v>June</v>
      </c>
      <c r="L391" t="str">
        <f t="shared" si="39"/>
        <v>2022</v>
      </c>
    </row>
    <row r="392" spans="1:12" x14ac:dyDescent="0.3">
      <c r="A392" t="s">
        <v>49</v>
      </c>
      <c r="B392" s="1">
        <v>45002</v>
      </c>
      <c r="C392" s="1">
        <v>45019</v>
      </c>
      <c r="D392" t="s">
        <v>13</v>
      </c>
      <c r="E392">
        <v>1554</v>
      </c>
      <c r="F392" s="8">
        <v>82.92</v>
      </c>
      <c r="G392">
        <v>44</v>
      </c>
      <c r="H392">
        <f t="shared" si="35"/>
        <v>17</v>
      </c>
      <c r="I392" s="9">
        <f t="shared" si="36"/>
        <v>128857.68000000001</v>
      </c>
      <c r="J392" s="11">
        <f t="shared" si="37"/>
        <v>2.8314028314028315E-2</v>
      </c>
      <c r="K392" t="str">
        <f t="shared" si="38"/>
        <v>March</v>
      </c>
      <c r="L392" t="str">
        <f t="shared" si="39"/>
        <v>2023</v>
      </c>
    </row>
    <row r="393" spans="1:12" x14ac:dyDescent="0.3">
      <c r="A393" t="s">
        <v>50</v>
      </c>
      <c r="B393" s="1">
        <v>44692</v>
      </c>
      <c r="C393" s="1">
        <v>44706</v>
      </c>
      <c r="D393" t="s">
        <v>11</v>
      </c>
      <c r="E393">
        <v>502</v>
      </c>
      <c r="F393" s="8">
        <v>29.47</v>
      </c>
      <c r="G393">
        <v>27</v>
      </c>
      <c r="H393">
        <f t="shared" si="35"/>
        <v>14</v>
      </c>
      <c r="I393" s="9">
        <f t="shared" si="36"/>
        <v>14793.939999999999</v>
      </c>
      <c r="J393" s="11">
        <f t="shared" si="37"/>
        <v>5.3784860557768925E-2</v>
      </c>
      <c r="K393" t="str">
        <f t="shared" si="38"/>
        <v>May</v>
      </c>
      <c r="L393" t="str">
        <f t="shared" si="39"/>
        <v>2022</v>
      </c>
    </row>
    <row r="394" spans="1:12" x14ac:dyDescent="0.3">
      <c r="A394" t="s">
        <v>48</v>
      </c>
      <c r="B394" s="1">
        <v>44604</v>
      </c>
      <c r="C394" s="1">
        <v>44605</v>
      </c>
      <c r="D394" t="s">
        <v>10</v>
      </c>
      <c r="E394">
        <v>1069</v>
      </c>
      <c r="F394" s="8">
        <v>91.28</v>
      </c>
      <c r="G394">
        <v>0</v>
      </c>
      <c r="H394">
        <f t="shared" si="35"/>
        <v>1</v>
      </c>
      <c r="I394" s="9">
        <f t="shared" si="36"/>
        <v>97578.32</v>
      </c>
      <c r="J394" s="11">
        <f t="shared" si="37"/>
        <v>0</v>
      </c>
      <c r="K394" t="str">
        <f t="shared" si="38"/>
        <v>February</v>
      </c>
      <c r="L394" t="str">
        <f t="shared" si="39"/>
        <v>2022</v>
      </c>
    </row>
    <row r="395" spans="1:12" x14ac:dyDescent="0.3">
      <c r="A395" t="s">
        <v>46</v>
      </c>
      <c r="B395" s="1">
        <v>44877</v>
      </c>
      <c r="C395" s="1">
        <v>44883</v>
      </c>
      <c r="D395" t="s">
        <v>10</v>
      </c>
      <c r="E395">
        <v>1902</v>
      </c>
      <c r="F395" s="8">
        <v>29.89</v>
      </c>
      <c r="G395">
        <v>41</v>
      </c>
      <c r="H395">
        <f t="shared" si="35"/>
        <v>6</v>
      </c>
      <c r="I395" s="9">
        <f t="shared" si="36"/>
        <v>56850.78</v>
      </c>
      <c r="J395" s="11">
        <f t="shared" si="37"/>
        <v>2.1556256572029444E-2</v>
      </c>
      <c r="K395" t="str">
        <f t="shared" si="38"/>
        <v>November</v>
      </c>
      <c r="L395" t="str">
        <f t="shared" si="39"/>
        <v>2022</v>
      </c>
    </row>
    <row r="396" spans="1:12" x14ac:dyDescent="0.3">
      <c r="A396" t="s">
        <v>48</v>
      </c>
      <c r="B396" s="1">
        <v>44602</v>
      </c>
      <c r="C396" s="1">
        <v>44618</v>
      </c>
      <c r="D396" t="s">
        <v>11</v>
      </c>
      <c r="E396">
        <v>708</v>
      </c>
      <c r="F396" s="8">
        <v>13.36</v>
      </c>
      <c r="G396">
        <v>0</v>
      </c>
      <c r="H396">
        <f t="shared" si="35"/>
        <v>16</v>
      </c>
      <c r="I396" s="9">
        <f t="shared" si="36"/>
        <v>9458.8799999999992</v>
      </c>
      <c r="J396" s="11">
        <f t="shared" si="37"/>
        <v>0</v>
      </c>
      <c r="K396" t="str">
        <f t="shared" si="38"/>
        <v>February</v>
      </c>
      <c r="L396" t="str">
        <f t="shared" si="39"/>
        <v>2022</v>
      </c>
    </row>
    <row r="397" spans="1:12" x14ac:dyDescent="0.3">
      <c r="A397" t="s">
        <v>49</v>
      </c>
      <c r="B397" s="1">
        <v>44581</v>
      </c>
      <c r="C397" s="1">
        <v>44591</v>
      </c>
      <c r="D397" t="s">
        <v>11</v>
      </c>
      <c r="E397">
        <v>844</v>
      </c>
      <c r="F397" s="8">
        <v>26.37</v>
      </c>
      <c r="G397">
        <v>38</v>
      </c>
      <c r="H397">
        <f t="shared" si="35"/>
        <v>10</v>
      </c>
      <c r="I397" s="9">
        <f t="shared" si="36"/>
        <v>22256.280000000002</v>
      </c>
      <c r="J397" s="11">
        <f t="shared" si="37"/>
        <v>4.5023696682464455E-2</v>
      </c>
      <c r="K397" t="str">
        <f t="shared" si="38"/>
        <v>January</v>
      </c>
      <c r="L397" t="str">
        <f t="shared" si="39"/>
        <v>2022</v>
      </c>
    </row>
    <row r="398" spans="1:12" x14ac:dyDescent="0.3">
      <c r="A398" t="s">
        <v>46</v>
      </c>
      <c r="B398" s="1">
        <v>44777</v>
      </c>
      <c r="C398" s="1">
        <v>44787</v>
      </c>
      <c r="D398" t="s">
        <v>9</v>
      </c>
      <c r="E398">
        <v>596</v>
      </c>
      <c r="F398" s="8">
        <v>62.96</v>
      </c>
      <c r="G398">
        <v>9</v>
      </c>
      <c r="H398">
        <f t="shared" si="35"/>
        <v>10</v>
      </c>
      <c r="I398" s="9">
        <f t="shared" si="36"/>
        <v>37524.160000000003</v>
      </c>
      <c r="J398" s="11">
        <f t="shared" si="37"/>
        <v>1.5100671140939598E-2</v>
      </c>
      <c r="K398" t="str">
        <f t="shared" si="38"/>
        <v>August</v>
      </c>
      <c r="L398" t="str">
        <f t="shared" si="39"/>
        <v>2022</v>
      </c>
    </row>
    <row r="399" spans="1:12" x14ac:dyDescent="0.3">
      <c r="A399" t="s">
        <v>49</v>
      </c>
      <c r="B399" s="1">
        <v>45260</v>
      </c>
      <c r="C399" s="1">
        <v>45264</v>
      </c>
      <c r="D399" t="s">
        <v>9</v>
      </c>
      <c r="E399">
        <v>1265</v>
      </c>
      <c r="F399" s="8">
        <v>17.66</v>
      </c>
      <c r="G399">
        <v>34</v>
      </c>
      <c r="H399">
        <f t="shared" si="35"/>
        <v>4</v>
      </c>
      <c r="I399" s="9">
        <f t="shared" si="36"/>
        <v>22339.9</v>
      </c>
      <c r="J399" s="11">
        <f t="shared" si="37"/>
        <v>2.6877470355731226E-2</v>
      </c>
      <c r="K399" t="str">
        <f t="shared" si="38"/>
        <v>November</v>
      </c>
      <c r="L399" t="str">
        <f t="shared" si="39"/>
        <v>2023</v>
      </c>
    </row>
    <row r="400" spans="1:12" x14ac:dyDescent="0.3">
      <c r="A400" t="s">
        <v>47</v>
      </c>
      <c r="B400" s="1">
        <v>44817</v>
      </c>
      <c r="C400" s="1">
        <v>44835</v>
      </c>
      <c r="D400" t="s">
        <v>12</v>
      </c>
      <c r="E400">
        <v>1122</v>
      </c>
      <c r="F400" s="8">
        <v>82.99</v>
      </c>
      <c r="G400">
        <v>118</v>
      </c>
      <c r="H400">
        <f t="shared" si="35"/>
        <v>18</v>
      </c>
      <c r="I400" s="9">
        <f t="shared" si="36"/>
        <v>93114.78</v>
      </c>
      <c r="J400" s="11">
        <f t="shared" si="37"/>
        <v>0.10516934046345811</v>
      </c>
      <c r="K400" t="str">
        <f t="shared" si="38"/>
        <v>September</v>
      </c>
      <c r="L400" t="str">
        <f t="shared" si="39"/>
        <v>2022</v>
      </c>
    </row>
    <row r="401" spans="1:12" x14ac:dyDescent="0.3">
      <c r="A401" t="s">
        <v>49</v>
      </c>
      <c r="B401" s="1">
        <v>45244</v>
      </c>
      <c r="C401" s="1">
        <v>45261</v>
      </c>
      <c r="D401" t="s">
        <v>9</v>
      </c>
      <c r="E401">
        <v>1585</v>
      </c>
      <c r="F401" s="8">
        <v>56.38</v>
      </c>
      <c r="G401">
        <v>0</v>
      </c>
      <c r="H401">
        <f t="shared" si="35"/>
        <v>17</v>
      </c>
      <c r="I401" s="9">
        <f t="shared" si="36"/>
        <v>89362.3</v>
      </c>
      <c r="J401" s="11">
        <f t="shared" si="37"/>
        <v>0</v>
      </c>
      <c r="K401" t="str">
        <f t="shared" si="38"/>
        <v>November</v>
      </c>
      <c r="L401" t="str">
        <f t="shared" si="39"/>
        <v>2023</v>
      </c>
    </row>
    <row r="402" spans="1:12" x14ac:dyDescent="0.3">
      <c r="A402" t="s">
        <v>49</v>
      </c>
      <c r="B402" s="1">
        <v>44667</v>
      </c>
      <c r="C402" s="1">
        <v>44678</v>
      </c>
      <c r="D402" t="s">
        <v>13</v>
      </c>
      <c r="E402">
        <v>66</v>
      </c>
      <c r="F402" s="8">
        <v>58.05</v>
      </c>
      <c r="G402">
        <v>0</v>
      </c>
      <c r="H402">
        <f t="shared" si="35"/>
        <v>11</v>
      </c>
      <c r="I402" s="9">
        <f t="shared" si="36"/>
        <v>3831.2999999999997</v>
      </c>
      <c r="J402" s="11">
        <f t="shared" si="37"/>
        <v>0</v>
      </c>
      <c r="K402" t="str">
        <f t="shared" si="38"/>
        <v>April</v>
      </c>
      <c r="L402" t="str">
        <f t="shared" si="39"/>
        <v>2022</v>
      </c>
    </row>
    <row r="403" spans="1:12" x14ac:dyDescent="0.3">
      <c r="A403" t="s">
        <v>47</v>
      </c>
      <c r="B403" s="1">
        <v>44924</v>
      </c>
      <c r="C403" s="1">
        <v>44944</v>
      </c>
      <c r="D403" t="s">
        <v>10</v>
      </c>
      <c r="E403">
        <v>1245</v>
      </c>
      <c r="F403" s="8">
        <v>52.4</v>
      </c>
      <c r="G403">
        <v>118</v>
      </c>
      <c r="H403">
        <f t="shared" si="35"/>
        <v>20</v>
      </c>
      <c r="I403" s="9">
        <f t="shared" si="36"/>
        <v>65238</v>
      </c>
      <c r="J403" s="11">
        <f t="shared" si="37"/>
        <v>9.4779116465863456E-2</v>
      </c>
      <c r="K403" t="str">
        <f t="shared" si="38"/>
        <v>December</v>
      </c>
      <c r="L403" t="str">
        <f t="shared" si="39"/>
        <v>2022</v>
      </c>
    </row>
    <row r="404" spans="1:12" x14ac:dyDescent="0.3">
      <c r="A404" t="s">
        <v>48</v>
      </c>
      <c r="B404" s="1">
        <v>45135</v>
      </c>
      <c r="C404" s="1">
        <v>45148</v>
      </c>
      <c r="D404" t="s">
        <v>13</v>
      </c>
      <c r="E404">
        <v>1293</v>
      </c>
      <c r="F404" s="8">
        <v>50.21</v>
      </c>
      <c r="G404">
        <v>0</v>
      </c>
      <c r="H404">
        <f t="shared" si="35"/>
        <v>13</v>
      </c>
      <c r="I404" s="9">
        <f t="shared" si="36"/>
        <v>64921.53</v>
      </c>
      <c r="J404" s="11">
        <f t="shared" si="37"/>
        <v>0</v>
      </c>
      <c r="K404" t="str">
        <f t="shared" si="38"/>
        <v>July</v>
      </c>
      <c r="L404" t="str">
        <f t="shared" si="39"/>
        <v>2023</v>
      </c>
    </row>
    <row r="405" spans="1:12" x14ac:dyDescent="0.3">
      <c r="A405" t="s">
        <v>47</v>
      </c>
      <c r="B405" s="1">
        <v>44978</v>
      </c>
      <c r="C405" s="1">
        <v>44984</v>
      </c>
      <c r="D405" t="s">
        <v>11</v>
      </c>
      <c r="E405">
        <v>207</v>
      </c>
      <c r="F405" s="8">
        <v>64.290000000000006</v>
      </c>
      <c r="G405">
        <v>25</v>
      </c>
      <c r="H405">
        <f t="shared" si="35"/>
        <v>6</v>
      </c>
      <c r="I405" s="9">
        <f t="shared" si="36"/>
        <v>13308.03</v>
      </c>
      <c r="J405" s="11">
        <f t="shared" si="37"/>
        <v>0.12077294685990338</v>
      </c>
      <c r="K405" t="str">
        <f t="shared" si="38"/>
        <v>February</v>
      </c>
      <c r="L405" t="str">
        <f t="shared" si="39"/>
        <v>2023</v>
      </c>
    </row>
    <row r="406" spans="1:12" x14ac:dyDescent="0.3">
      <c r="A406" t="s">
        <v>47</v>
      </c>
      <c r="B406" s="1">
        <v>45197</v>
      </c>
      <c r="C406" s="1">
        <v>45217</v>
      </c>
      <c r="D406" t="s">
        <v>9</v>
      </c>
      <c r="E406">
        <v>526</v>
      </c>
      <c r="F406" s="8">
        <v>26.37</v>
      </c>
      <c r="G406">
        <v>47</v>
      </c>
      <c r="H406">
        <f t="shared" si="35"/>
        <v>20</v>
      </c>
      <c r="I406" s="9">
        <f t="shared" si="36"/>
        <v>13870.62</v>
      </c>
      <c r="J406" s="11">
        <f t="shared" si="37"/>
        <v>8.9353612167300381E-2</v>
      </c>
      <c r="K406" t="str">
        <f t="shared" si="38"/>
        <v>September</v>
      </c>
      <c r="L406" t="str">
        <f t="shared" si="39"/>
        <v>2023</v>
      </c>
    </row>
    <row r="407" spans="1:12" x14ac:dyDescent="0.3">
      <c r="A407" t="s">
        <v>50</v>
      </c>
      <c r="B407" s="1">
        <v>44720</v>
      </c>
      <c r="C407" s="1">
        <v>44726</v>
      </c>
      <c r="D407" t="s">
        <v>13</v>
      </c>
      <c r="E407">
        <v>1119</v>
      </c>
      <c r="F407" s="8">
        <v>27.03</v>
      </c>
      <c r="G407">
        <v>0</v>
      </c>
      <c r="H407">
        <f t="shared" si="35"/>
        <v>6</v>
      </c>
      <c r="I407" s="9">
        <f t="shared" si="36"/>
        <v>30246.57</v>
      </c>
      <c r="J407" s="11">
        <f t="shared" si="37"/>
        <v>0</v>
      </c>
      <c r="K407" t="str">
        <f t="shared" si="38"/>
        <v>June</v>
      </c>
      <c r="L407" t="str">
        <f t="shared" si="39"/>
        <v>2022</v>
      </c>
    </row>
    <row r="408" spans="1:12" x14ac:dyDescent="0.3">
      <c r="A408" t="s">
        <v>50</v>
      </c>
      <c r="B408" s="1">
        <v>44804</v>
      </c>
      <c r="C408" s="1">
        <v>44806</v>
      </c>
      <c r="D408" t="s">
        <v>11</v>
      </c>
      <c r="E408">
        <v>1446</v>
      </c>
      <c r="F408" s="8">
        <v>90.63</v>
      </c>
      <c r="G408">
        <v>77</v>
      </c>
      <c r="H408">
        <f t="shared" si="35"/>
        <v>2</v>
      </c>
      <c r="I408" s="9">
        <f t="shared" si="36"/>
        <v>131050.98</v>
      </c>
      <c r="J408" s="11">
        <f t="shared" si="37"/>
        <v>5.3250345781466112E-2</v>
      </c>
      <c r="K408" t="str">
        <f t="shared" si="38"/>
        <v>August</v>
      </c>
      <c r="L408" t="str">
        <f t="shared" si="39"/>
        <v>2022</v>
      </c>
    </row>
    <row r="409" spans="1:12" x14ac:dyDescent="0.3">
      <c r="A409" t="s">
        <v>50</v>
      </c>
      <c r="B409" s="1">
        <v>44728</v>
      </c>
      <c r="C409" s="1">
        <v>44736</v>
      </c>
      <c r="D409" t="s">
        <v>9</v>
      </c>
      <c r="E409">
        <v>567</v>
      </c>
      <c r="F409" s="8">
        <v>97.53</v>
      </c>
      <c r="G409">
        <v>21</v>
      </c>
      <c r="H409">
        <f t="shared" si="35"/>
        <v>8</v>
      </c>
      <c r="I409" s="9">
        <f t="shared" si="36"/>
        <v>55299.51</v>
      </c>
      <c r="J409" s="11">
        <f t="shared" si="37"/>
        <v>3.7037037037037035E-2</v>
      </c>
      <c r="K409" t="str">
        <f t="shared" si="38"/>
        <v>June</v>
      </c>
      <c r="L409" t="str">
        <f t="shared" si="39"/>
        <v>2022</v>
      </c>
    </row>
    <row r="410" spans="1:12" x14ac:dyDescent="0.3">
      <c r="A410" t="s">
        <v>47</v>
      </c>
      <c r="B410" s="1">
        <v>44984</v>
      </c>
      <c r="C410" s="1">
        <v>44999</v>
      </c>
      <c r="D410" t="s">
        <v>10</v>
      </c>
      <c r="E410">
        <v>1965</v>
      </c>
      <c r="F410" s="8">
        <v>36.6</v>
      </c>
      <c r="G410">
        <v>195</v>
      </c>
      <c r="H410">
        <f t="shared" si="35"/>
        <v>15</v>
      </c>
      <c r="I410" s="9">
        <f t="shared" si="36"/>
        <v>71919</v>
      </c>
      <c r="J410" s="11">
        <f t="shared" si="37"/>
        <v>9.9236641221374045E-2</v>
      </c>
      <c r="K410" t="str">
        <f t="shared" si="38"/>
        <v>February</v>
      </c>
      <c r="L410" t="str">
        <f t="shared" si="39"/>
        <v>2023</v>
      </c>
    </row>
    <row r="411" spans="1:12" x14ac:dyDescent="0.3">
      <c r="A411" t="s">
        <v>49</v>
      </c>
      <c r="B411" s="1">
        <v>44940</v>
      </c>
      <c r="C411" s="1">
        <v>44959</v>
      </c>
      <c r="D411" t="s">
        <v>11</v>
      </c>
      <c r="E411">
        <v>1698</v>
      </c>
      <c r="F411" s="8">
        <v>100.97</v>
      </c>
      <c r="G411">
        <v>52</v>
      </c>
      <c r="H411">
        <f t="shared" si="35"/>
        <v>19</v>
      </c>
      <c r="I411" s="9">
        <f t="shared" si="36"/>
        <v>171447.06</v>
      </c>
      <c r="J411" s="11">
        <f t="shared" si="37"/>
        <v>3.0624263839811542E-2</v>
      </c>
      <c r="K411" t="str">
        <f t="shared" si="38"/>
        <v>January</v>
      </c>
      <c r="L411" t="str">
        <f t="shared" si="39"/>
        <v>2023</v>
      </c>
    </row>
    <row r="412" spans="1:12" x14ac:dyDescent="0.3">
      <c r="A412" t="s">
        <v>47</v>
      </c>
      <c r="B412" s="1">
        <v>44745</v>
      </c>
      <c r="C412" s="1">
        <v>44761</v>
      </c>
      <c r="D412" t="s">
        <v>10</v>
      </c>
      <c r="E412">
        <v>1110</v>
      </c>
      <c r="F412" s="8">
        <v>48.19</v>
      </c>
      <c r="G412">
        <v>112</v>
      </c>
      <c r="H412">
        <f t="shared" si="35"/>
        <v>16</v>
      </c>
      <c r="I412" s="9">
        <f t="shared" si="36"/>
        <v>53490.899999999994</v>
      </c>
      <c r="J412" s="11">
        <f t="shared" si="37"/>
        <v>0.1009009009009009</v>
      </c>
      <c r="K412" t="str">
        <f t="shared" si="38"/>
        <v>July</v>
      </c>
      <c r="L412" t="str">
        <f t="shared" si="39"/>
        <v>2022</v>
      </c>
    </row>
    <row r="413" spans="1:12" x14ac:dyDescent="0.3">
      <c r="A413" t="s">
        <v>50</v>
      </c>
      <c r="B413" s="1">
        <v>44983</v>
      </c>
      <c r="C413" s="1">
        <v>45002</v>
      </c>
      <c r="D413" t="s">
        <v>9</v>
      </c>
      <c r="E413">
        <v>1422</v>
      </c>
      <c r="F413" s="8">
        <v>25.62</v>
      </c>
      <c r="G413">
        <v>65</v>
      </c>
      <c r="H413">
        <f t="shared" si="35"/>
        <v>19</v>
      </c>
      <c r="I413" s="9">
        <f t="shared" si="36"/>
        <v>36431.64</v>
      </c>
      <c r="J413" s="11">
        <f t="shared" si="37"/>
        <v>4.5710267229254573E-2</v>
      </c>
      <c r="K413" t="str">
        <f t="shared" si="38"/>
        <v>February</v>
      </c>
      <c r="L413" t="str">
        <f t="shared" si="39"/>
        <v>2023</v>
      </c>
    </row>
    <row r="414" spans="1:12" x14ac:dyDescent="0.3">
      <c r="A414" t="s">
        <v>50</v>
      </c>
      <c r="B414" s="1">
        <v>44816</v>
      </c>
      <c r="C414" s="1">
        <v>44826</v>
      </c>
      <c r="D414" t="s">
        <v>9</v>
      </c>
      <c r="E414">
        <v>351</v>
      </c>
      <c r="F414" s="8">
        <v>72.08</v>
      </c>
      <c r="G414">
        <v>20</v>
      </c>
      <c r="H414">
        <f t="shared" si="35"/>
        <v>10</v>
      </c>
      <c r="I414" s="9">
        <f t="shared" si="36"/>
        <v>25300.079999999998</v>
      </c>
      <c r="J414" s="11">
        <f t="shared" si="37"/>
        <v>5.6980056980056981E-2</v>
      </c>
      <c r="K414" t="str">
        <f t="shared" si="38"/>
        <v>September</v>
      </c>
      <c r="L414" t="str">
        <f t="shared" si="39"/>
        <v>2022</v>
      </c>
    </row>
    <row r="415" spans="1:12" x14ac:dyDescent="0.3">
      <c r="A415" t="s">
        <v>48</v>
      </c>
      <c r="B415" s="1">
        <v>44835</v>
      </c>
      <c r="C415" s="1">
        <v>44852</v>
      </c>
      <c r="D415" t="s">
        <v>12</v>
      </c>
      <c r="E415">
        <v>230</v>
      </c>
      <c r="F415" s="8">
        <v>13</v>
      </c>
      <c r="G415">
        <v>0</v>
      </c>
      <c r="H415">
        <f t="shared" si="35"/>
        <v>17</v>
      </c>
      <c r="I415" s="9">
        <f t="shared" si="36"/>
        <v>2990</v>
      </c>
      <c r="J415" s="11">
        <f t="shared" si="37"/>
        <v>0</v>
      </c>
      <c r="K415" t="str">
        <f t="shared" si="38"/>
        <v>October</v>
      </c>
      <c r="L415" t="str">
        <f t="shared" si="39"/>
        <v>2022</v>
      </c>
    </row>
    <row r="416" spans="1:12" x14ac:dyDescent="0.3">
      <c r="A416" t="s">
        <v>46</v>
      </c>
      <c r="B416" s="1">
        <v>44725</v>
      </c>
      <c r="C416" s="1">
        <v>44731</v>
      </c>
      <c r="D416" t="s">
        <v>10</v>
      </c>
      <c r="E416">
        <v>656</v>
      </c>
      <c r="F416" s="8">
        <v>30.73</v>
      </c>
      <c r="G416">
        <v>17</v>
      </c>
      <c r="H416">
        <f t="shared" si="35"/>
        <v>6</v>
      </c>
      <c r="I416" s="9">
        <f t="shared" si="36"/>
        <v>20158.88</v>
      </c>
      <c r="J416" s="11">
        <f t="shared" si="37"/>
        <v>2.5914634146341462E-2</v>
      </c>
      <c r="K416" t="str">
        <f t="shared" si="38"/>
        <v>June</v>
      </c>
      <c r="L416" t="str">
        <f t="shared" si="39"/>
        <v>2022</v>
      </c>
    </row>
    <row r="417" spans="1:12" x14ac:dyDescent="0.3">
      <c r="A417" t="s">
        <v>50</v>
      </c>
      <c r="B417" s="1">
        <v>45280</v>
      </c>
      <c r="C417" s="1">
        <v>45300</v>
      </c>
      <c r="D417" t="s">
        <v>10</v>
      </c>
      <c r="E417">
        <v>1172</v>
      </c>
      <c r="F417" s="8">
        <v>34.340000000000003</v>
      </c>
      <c r="G417">
        <v>69</v>
      </c>
      <c r="H417">
        <f t="shared" si="35"/>
        <v>20</v>
      </c>
      <c r="I417" s="9">
        <f t="shared" si="36"/>
        <v>40246.480000000003</v>
      </c>
      <c r="J417" s="11">
        <f t="shared" si="37"/>
        <v>5.8873720136518773E-2</v>
      </c>
      <c r="K417" t="str">
        <f t="shared" si="38"/>
        <v>December</v>
      </c>
      <c r="L417" t="str">
        <f t="shared" si="39"/>
        <v>2023</v>
      </c>
    </row>
    <row r="418" spans="1:12" x14ac:dyDescent="0.3">
      <c r="A418" t="s">
        <v>50</v>
      </c>
      <c r="B418" s="1">
        <v>44672</v>
      </c>
      <c r="C418" s="1">
        <v>44681</v>
      </c>
      <c r="D418" t="s">
        <v>13</v>
      </c>
      <c r="E418">
        <v>749</v>
      </c>
      <c r="F418" s="8">
        <v>71.53</v>
      </c>
      <c r="G418">
        <v>41</v>
      </c>
      <c r="H418">
        <f t="shared" si="35"/>
        <v>9</v>
      </c>
      <c r="I418" s="9">
        <f t="shared" si="36"/>
        <v>53575.97</v>
      </c>
      <c r="J418" s="11">
        <f t="shared" si="37"/>
        <v>5.4739652870493989E-2</v>
      </c>
      <c r="K418" t="str">
        <f t="shared" si="38"/>
        <v>April</v>
      </c>
      <c r="L418" t="str">
        <f t="shared" si="39"/>
        <v>2022</v>
      </c>
    </row>
    <row r="419" spans="1:12" x14ac:dyDescent="0.3">
      <c r="A419" t="s">
        <v>49</v>
      </c>
      <c r="B419" s="1">
        <v>44570</v>
      </c>
      <c r="C419" s="1">
        <v>44580</v>
      </c>
      <c r="D419" t="s">
        <v>11</v>
      </c>
      <c r="E419">
        <v>148</v>
      </c>
      <c r="F419" s="8">
        <v>93.02</v>
      </c>
      <c r="G419">
        <v>4</v>
      </c>
      <c r="H419">
        <f t="shared" si="35"/>
        <v>10</v>
      </c>
      <c r="I419" s="9">
        <f t="shared" si="36"/>
        <v>13766.96</v>
      </c>
      <c r="J419" s="11">
        <f t="shared" si="37"/>
        <v>2.7027027027027029E-2</v>
      </c>
      <c r="K419" t="str">
        <f t="shared" si="38"/>
        <v>January</v>
      </c>
      <c r="L419" t="str">
        <f t="shared" si="39"/>
        <v>2022</v>
      </c>
    </row>
    <row r="420" spans="1:12" x14ac:dyDescent="0.3">
      <c r="A420" t="s">
        <v>48</v>
      </c>
      <c r="B420" s="1">
        <v>44601</v>
      </c>
      <c r="C420" s="1">
        <v>44619</v>
      </c>
      <c r="D420" t="s">
        <v>12</v>
      </c>
      <c r="E420">
        <v>1189</v>
      </c>
      <c r="F420" s="8">
        <v>19.47</v>
      </c>
      <c r="G420">
        <v>0</v>
      </c>
      <c r="H420">
        <f t="shared" si="35"/>
        <v>18</v>
      </c>
      <c r="I420" s="9">
        <f t="shared" si="36"/>
        <v>23149.829999999998</v>
      </c>
      <c r="J420" s="11">
        <f t="shared" si="37"/>
        <v>0</v>
      </c>
      <c r="K420" t="str">
        <f t="shared" si="38"/>
        <v>February</v>
      </c>
      <c r="L420" t="str">
        <f t="shared" si="39"/>
        <v>2022</v>
      </c>
    </row>
    <row r="421" spans="1:12" x14ac:dyDescent="0.3">
      <c r="A421" t="s">
        <v>49</v>
      </c>
      <c r="B421" s="1">
        <v>44789</v>
      </c>
      <c r="C421" s="1">
        <v>44806</v>
      </c>
      <c r="D421" t="s">
        <v>10</v>
      </c>
      <c r="E421">
        <v>302</v>
      </c>
      <c r="F421" s="8">
        <v>26.98</v>
      </c>
      <c r="G421">
        <v>9</v>
      </c>
      <c r="H421">
        <f t="shared" si="35"/>
        <v>17</v>
      </c>
      <c r="I421" s="9">
        <f t="shared" si="36"/>
        <v>8147.96</v>
      </c>
      <c r="J421" s="11">
        <f t="shared" si="37"/>
        <v>2.9801324503311258E-2</v>
      </c>
      <c r="K421" t="str">
        <f t="shared" si="38"/>
        <v>August</v>
      </c>
      <c r="L421" t="str">
        <f t="shared" si="39"/>
        <v>2022</v>
      </c>
    </row>
    <row r="422" spans="1:12" x14ac:dyDescent="0.3">
      <c r="A422" t="s">
        <v>47</v>
      </c>
      <c r="B422" s="1">
        <v>44766</v>
      </c>
      <c r="C422" s="1">
        <v>44776</v>
      </c>
      <c r="D422" t="s">
        <v>10</v>
      </c>
      <c r="E422">
        <v>1030</v>
      </c>
      <c r="F422" s="8">
        <v>70.81</v>
      </c>
      <c r="G422">
        <v>0</v>
      </c>
      <c r="H422">
        <f t="shared" si="35"/>
        <v>10</v>
      </c>
      <c r="I422" s="9">
        <f t="shared" si="36"/>
        <v>72934.3</v>
      </c>
      <c r="J422" s="11">
        <f t="shared" si="37"/>
        <v>0</v>
      </c>
      <c r="K422" t="str">
        <f t="shared" si="38"/>
        <v>July</v>
      </c>
      <c r="L422" t="str">
        <f t="shared" si="39"/>
        <v>2022</v>
      </c>
    </row>
    <row r="423" spans="1:12" x14ac:dyDescent="0.3">
      <c r="A423" t="s">
        <v>48</v>
      </c>
      <c r="B423" s="1">
        <v>45033</v>
      </c>
      <c r="C423" s="1">
        <v>45039</v>
      </c>
      <c r="D423" t="s">
        <v>9</v>
      </c>
      <c r="E423">
        <v>977</v>
      </c>
      <c r="F423" s="8">
        <v>33.79</v>
      </c>
      <c r="G423">
        <v>137</v>
      </c>
      <c r="H423">
        <f t="shared" si="35"/>
        <v>6</v>
      </c>
      <c r="I423" s="9">
        <f t="shared" si="36"/>
        <v>33012.83</v>
      </c>
      <c r="J423" s="11">
        <f t="shared" si="37"/>
        <v>0.14022517911975435</v>
      </c>
      <c r="K423" t="str">
        <f t="shared" si="38"/>
        <v>April</v>
      </c>
      <c r="L423" t="str">
        <f t="shared" si="39"/>
        <v>2023</v>
      </c>
    </row>
    <row r="424" spans="1:12" x14ac:dyDescent="0.3">
      <c r="A424" t="s">
        <v>46</v>
      </c>
      <c r="B424" s="1">
        <v>44920</v>
      </c>
      <c r="C424" s="1">
        <v>44937</v>
      </c>
      <c r="D424" t="s">
        <v>11</v>
      </c>
      <c r="E424">
        <v>1234</v>
      </c>
      <c r="F424" s="8">
        <v>19.989999999999998</v>
      </c>
      <c r="G424">
        <v>25</v>
      </c>
      <c r="H424">
        <f t="shared" si="35"/>
        <v>17</v>
      </c>
      <c r="I424" s="9">
        <f t="shared" si="36"/>
        <v>24667.66</v>
      </c>
      <c r="J424" s="11">
        <f t="shared" si="37"/>
        <v>2.0259319286871962E-2</v>
      </c>
      <c r="K424" t="str">
        <f t="shared" si="38"/>
        <v>December</v>
      </c>
      <c r="L424" t="str">
        <f t="shared" si="39"/>
        <v>2022</v>
      </c>
    </row>
    <row r="425" spans="1:12" x14ac:dyDescent="0.3">
      <c r="A425" t="s">
        <v>47</v>
      </c>
      <c r="B425" s="1">
        <v>44874</v>
      </c>
      <c r="C425" s="1">
        <v>44888</v>
      </c>
      <c r="D425" t="s">
        <v>9</v>
      </c>
      <c r="E425">
        <v>1329</v>
      </c>
      <c r="F425" s="8">
        <v>33.479999999999997</v>
      </c>
      <c r="G425">
        <v>146</v>
      </c>
      <c r="H425">
        <f t="shared" si="35"/>
        <v>14</v>
      </c>
      <c r="I425" s="9">
        <f t="shared" si="36"/>
        <v>44494.92</v>
      </c>
      <c r="J425" s="11">
        <f t="shared" si="37"/>
        <v>0.10985703536493605</v>
      </c>
      <c r="K425" t="str">
        <f t="shared" si="38"/>
        <v>November</v>
      </c>
      <c r="L425" t="str">
        <f t="shared" si="39"/>
        <v>2022</v>
      </c>
    </row>
    <row r="426" spans="1:12" x14ac:dyDescent="0.3">
      <c r="A426" t="s">
        <v>50</v>
      </c>
      <c r="B426" s="1">
        <v>44795</v>
      </c>
      <c r="C426" s="1">
        <v>44803</v>
      </c>
      <c r="D426" t="s">
        <v>12</v>
      </c>
      <c r="E426">
        <v>1396</v>
      </c>
      <c r="F426" s="8">
        <v>77.63</v>
      </c>
      <c r="G426">
        <v>58</v>
      </c>
      <c r="H426">
        <f t="shared" si="35"/>
        <v>8</v>
      </c>
      <c r="I426" s="9">
        <f t="shared" si="36"/>
        <v>108371.48</v>
      </c>
      <c r="J426" s="11">
        <f t="shared" si="37"/>
        <v>4.1547277936962751E-2</v>
      </c>
      <c r="K426" t="str">
        <f t="shared" si="38"/>
        <v>August</v>
      </c>
      <c r="L426" t="str">
        <f t="shared" si="39"/>
        <v>2022</v>
      </c>
    </row>
    <row r="427" spans="1:12" x14ac:dyDescent="0.3">
      <c r="A427" t="s">
        <v>46</v>
      </c>
      <c r="B427" s="1">
        <v>44790</v>
      </c>
      <c r="C427" s="1">
        <v>44802</v>
      </c>
      <c r="D427" t="s">
        <v>12</v>
      </c>
      <c r="E427">
        <v>177</v>
      </c>
      <c r="F427" s="8">
        <v>90.06</v>
      </c>
      <c r="G427">
        <v>7</v>
      </c>
      <c r="H427">
        <f t="shared" si="35"/>
        <v>12</v>
      </c>
      <c r="I427" s="9">
        <f t="shared" si="36"/>
        <v>15940.62</v>
      </c>
      <c r="J427" s="11">
        <f t="shared" si="37"/>
        <v>3.954802259887006E-2</v>
      </c>
      <c r="K427" t="str">
        <f t="shared" si="38"/>
        <v>August</v>
      </c>
      <c r="L427" t="str">
        <f t="shared" si="39"/>
        <v>2022</v>
      </c>
    </row>
    <row r="428" spans="1:12" x14ac:dyDescent="0.3">
      <c r="A428" t="s">
        <v>50</v>
      </c>
      <c r="B428" s="1">
        <v>45237</v>
      </c>
      <c r="C428" s="1">
        <v>45250</v>
      </c>
      <c r="D428" t="s">
        <v>9</v>
      </c>
      <c r="E428">
        <v>1866</v>
      </c>
      <c r="F428" s="8">
        <v>50.78</v>
      </c>
      <c r="G428">
        <v>96</v>
      </c>
      <c r="H428">
        <f t="shared" si="35"/>
        <v>13</v>
      </c>
      <c r="I428" s="9">
        <f t="shared" si="36"/>
        <v>94755.48</v>
      </c>
      <c r="J428" s="11">
        <f t="shared" si="37"/>
        <v>5.1446945337620578E-2</v>
      </c>
      <c r="K428" t="str">
        <f t="shared" si="38"/>
        <v>November</v>
      </c>
      <c r="L428" t="str">
        <f t="shared" si="39"/>
        <v>2023</v>
      </c>
    </row>
    <row r="429" spans="1:12" x14ac:dyDescent="0.3">
      <c r="A429" t="s">
        <v>49</v>
      </c>
      <c r="B429" s="1">
        <v>44759</v>
      </c>
      <c r="C429" s="1">
        <v>44767</v>
      </c>
      <c r="D429" t="s">
        <v>10</v>
      </c>
      <c r="E429">
        <v>1808</v>
      </c>
      <c r="F429" s="8">
        <v>72.23</v>
      </c>
      <c r="G429">
        <v>53</v>
      </c>
      <c r="H429">
        <f t="shared" si="35"/>
        <v>8</v>
      </c>
      <c r="I429" s="9">
        <f t="shared" si="36"/>
        <v>130591.84000000001</v>
      </c>
      <c r="J429" s="11">
        <f t="shared" si="37"/>
        <v>2.9314159292035399E-2</v>
      </c>
      <c r="K429" t="str">
        <f t="shared" si="38"/>
        <v>July</v>
      </c>
      <c r="L429" t="str">
        <f t="shared" si="39"/>
        <v>2022</v>
      </c>
    </row>
    <row r="430" spans="1:12" x14ac:dyDescent="0.3">
      <c r="A430" t="s">
        <v>48</v>
      </c>
      <c r="B430" s="1">
        <v>44970</v>
      </c>
      <c r="C430" s="1">
        <v>44973</v>
      </c>
      <c r="D430" t="s">
        <v>13</v>
      </c>
      <c r="E430">
        <v>615</v>
      </c>
      <c r="F430" s="8">
        <v>30.3</v>
      </c>
      <c r="G430">
        <v>96</v>
      </c>
      <c r="H430">
        <f t="shared" si="35"/>
        <v>3</v>
      </c>
      <c r="I430" s="9">
        <f t="shared" si="36"/>
        <v>18634.5</v>
      </c>
      <c r="J430" s="11">
        <f t="shared" si="37"/>
        <v>0.15609756097560976</v>
      </c>
      <c r="K430" t="str">
        <f t="shared" si="38"/>
        <v>February</v>
      </c>
      <c r="L430" t="str">
        <f t="shared" si="39"/>
        <v>2023</v>
      </c>
    </row>
    <row r="431" spans="1:12" x14ac:dyDescent="0.3">
      <c r="A431" t="s">
        <v>50</v>
      </c>
      <c r="B431" s="1">
        <v>44898</v>
      </c>
      <c r="C431" s="1">
        <v>44899</v>
      </c>
      <c r="D431" t="s">
        <v>9</v>
      </c>
      <c r="E431">
        <v>619</v>
      </c>
      <c r="F431" s="8">
        <v>38.380000000000003</v>
      </c>
      <c r="G431">
        <v>34</v>
      </c>
      <c r="H431">
        <f t="shared" si="35"/>
        <v>1</v>
      </c>
      <c r="I431" s="9">
        <f t="shared" si="36"/>
        <v>23757.22</v>
      </c>
      <c r="J431" s="11">
        <f t="shared" si="37"/>
        <v>5.492730210016155E-2</v>
      </c>
      <c r="K431" t="str">
        <f t="shared" si="38"/>
        <v>December</v>
      </c>
      <c r="L431" t="str">
        <f t="shared" si="39"/>
        <v>2022</v>
      </c>
    </row>
    <row r="432" spans="1:12" x14ac:dyDescent="0.3">
      <c r="A432" t="s">
        <v>48</v>
      </c>
      <c r="B432" s="1">
        <v>44847</v>
      </c>
      <c r="C432" s="1">
        <v>44851</v>
      </c>
      <c r="D432" t="s">
        <v>9</v>
      </c>
      <c r="E432">
        <v>1396</v>
      </c>
      <c r="F432" s="8">
        <v>94.75</v>
      </c>
      <c r="G432">
        <v>210</v>
      </c>
      <c r="H432">
        <f t="shared" si="35"/>
        <v>4</v>
      </c>
      <c r="I432" s="9">
        <f t="shared" si="36"/>
        <v>132271</v>
      </c>
      <c r="J432" s="11">
        <f t="shared" si="37"/>
        <v>0.1504297994269341</v>
      </c>
      <c r="K432" t="str">
        <f t="shared" si="38"/>
        <v>October</v>
      </c>
      <c r="L432" t="str">
        <f t="shared" si="39"/>
        <v>2022</v>
      </c>
    </row>
    <row r="433" spans="1:12" x14ac:dyDescent="0.3">
      <c r="A433" t="s">
        <v>50</v>
      </c>
      <c r="B433" s="1">
        <v>44633</v>
      </c>
      <c r="C433" s="1">
        <v>44644</v>
      </c>
      <c r="D433" t="s">
        <v>10</v>
      </c>
      <c r="E433">
        <v>1945</v>
      </c>
      <c r="F433" s="8">
        <v>11.28</v>
      </c>
      <c r="G433">
        <v>94</v>
      </c>
      <c r="H433">
        <f t="shared" si="35"/>
        <v>11</v>
      </c>
      <c r="I433" s="9">
        <f t="shared" si="36"/>
        <v>21939.599999999999</v>
      </c>
      <c r="J433" s="11">
        <f t="shared" si="37"/>
        <v>4.8329048843187658E-2</v>
      </c>
      <c r="K433" t="str">
        <f t="shared" si="38"/>
        <v>March</v>
      </c>
      <c r="L433" t="str">
        <f t="shared" si="39"/>
        <v>2022</v>
      </c>
    </row>
    <row r="434" spans="1:12" x14ac:dyDescent="0.3">
      <c r="A434" t="s">
        <v>48</v>
      </c>
      <c r="B434" s="1">
        <v>44847</v>
      </c>
      <c r="C434" s="1">
        <v>44852</v>
      </c>
      <c r="D434" t="s">
        <v>11</v>
      </c>
      <c r="E434">
        <v>735</v>
      </c>
      <c r="F434" s="8">
        <v>18.489999999999998</v>
      </c>
      <c r="G434">
        <v>113</v>
      </c>
      <c r="H434">
        <f t="shared" si="35"/>
        <v>5</v>
      </c>
      <c r="I434" s="9">
        <f t="shared" si="36"/>
        <v>13590.15</v>
      </c>
      <c r="J434" s="11">
        <f t="shared" si="37"/>
        <v>0.15374149659863945</v>
      </c>
      <c r="K434" t="str">
        <f t="shared" si="38"/>
        <v>October</v>
      </c>
      <c r="L434" t="str">
        <f t="shared" si="39"/>
        <v>2022</v>
      </c>
    </row>
    <row r="435" spans="1:12" x14ac:dyDescent="0.3">
      <c r="A435" t="s">
        <v>49</v>
      </c>
      <c r="B435" s="1">
        <v>44921</v>
      </c>
      <c r="C435" s="1">
        <v>44937</v>
      </c>
      <c r="D435" t="s">
        <v>9</v>
      </c>
      <c r="E435">
        <v>1865</v>
      </c>
      <c r="F435" s="8">
        <v>30.29</v>
      </c>
      <c r="G435">
        <v>56</v>
      </c>
      <c r="H435">
        <f t="shared" si="35"/>
        <v>16</v>
      </c>
      <c r="I435" s="9">
        <f t="shared" si="36"/>
        <v>56490.85</v>
      </c>
      <c r="J435" s="11">
        <f t="shared" si="37"/>
        <v>3.0026809651474532E-2</v>
      </c>
      <c r="K435" t="str">
        <f t="shared" si="38"/>
        <v>December</v>
      </c>
      <c r="L435" t="str">
        <f t="shared" si="39"/>
        <v>2022</v>
      </c>
    </row>
    <row r="436" spans="1:12" x14ac:dyDescent="0.3">
      <c r="A436" t="s">
        <v>47</v>
      </c>
      <c r="B436" s="1">
        <v>45218</v>
      </c>
      <c r="C436" s="1">
        <v>45223</v>
      </c>
      <c r="D436" t="s">
        <v>13</v>
      </c>
      <c r="E436">
        <v>675</v>
      </c>
      <c r="F436" s="8">
        <v>13.69</v>
      </c>
      <c r="G436">
        <v>52</v>
      </c>
      <c r="H436">
        <f t="shared" si="35"/>
        <v>5</v>
      </c>
      <c r="I436" s="9">
        <f t="shared" si="36"/>
        <v>9240.75</v>
      </c>
      <c r="J436" s="11">
        <f t="shared" si="37"/>
        <v>7.7037037037037043E-2</v>
      </c>
      <c r="K436" t="str">
        <f t="shared" si="38"/>
        <v>October</v>
      </c>
      <c r="L436" t="str">
        <f t="shared" si="39"/>
        <v>2023</v>
      </c>
    </row>
    <row r="437" spans="1:12" x14ac:dyDescent="0.3">
      <c r="A437" t="s">
        <v>50</v>
      </c>
      <c r="B437" s="1">
        <v>45083</v>
      </c>
      <c r="C437" s="1">
        <v>45099</v>
      </c>
      <c r="D437" t="s">
        <v>10</v>
      </c>
      <c r="E437">
        <v>1361</v>
      </c>
      <c r="F437" s="8">
        <v>28.57</v>
      </c>
      <c r="G437">
        <v>65</v>
      </c>
      <c r="H437">
        <f t="shared" si="35"/>
        <v>16</v>
      </c>
      <c r="I437" s="9">
        <f t="shared" si="36"/>
        <v>38883.769999999997</v>
      </c>
      <c r="J437" s="11">
        <f t="shared" si="37"/>
        <v>4.7759000734753858E-2</v>
      </c>
      <c r="K437" t="str">
        <f t="shared" si="38"/>
        <v>June</v>
      </c>
      <c r="L437" t="str">
        <f t="shared" si="39"/>
        <v>2023</v>
      </c>
    </row>
    <row r="438" spans="1:12" x14ac:dyDescent="0.3">
      <c r="A438" t="s">
        <v>50</v>
      </c>
      <c r="B438" s="1">
        <v>44971</v>
      </c>
      <c r="C438" s="1">
        <v>44972</v>
      </c>
      <c r="D438" t="s">
        <v>12</v>
      </c>
      <c r="E438">
        <v>903</v>
      </c>
      <c r="F438" s="8">
        <v>66.53</v>
      </c>
      <c r="G438">
        <v>29</v>
      </c>
      <c r="H438">
        <f t="shared" si="35"/>
        <v>1</v>
      </c>
      <c r="I438" s="9">
        <f t="shared" si="36"/>
        <v>60076.590000000004</v>
      </c>
      <c r="J438" s="11">
        <f t="shared" si="37"/>
        <v>3.2115171650055369E-2</v>
      </c>
      <c r="K438" t="str">
        <f t="shared" si="38"/>
        <v>February</v>
      </c>
      <c r="L438" t="str">
        <f t="shared" si="39"/>
        <v>2023</v>
      </c>
    </row>
    <row r="439" spans="1:12" x14ac:dyDescent="0.3">
      <c r="A439" t="s">
        <v>47</v>
      </c>
      <c r="B439" s="1">
        <v>45111</v>
      </c>
      <c r="C439" s="1">
        <v>45118</v>
      </c>
      <c r="D439" t="s">
        <v>10</v>
      </c>
      <c r="E439">
        <v>1011</v>
      </c>
      <c r="F439" s="8">
        <v>98.47</v>
      </c>
      <c r="G439">
        <v>91</v>
      </c>
      <c r="H439">
        <f t="shared" si="35"/>
        <v>7</v>
      </c>
      <c r="I439" s="9">
        <f t="shared" si="36"/>
        <v>99553.17</v>
      </c>
      <c r="J439" s="11">
        <f t="shared" si="37"/>
        <v>9.0009891196834821E-2</v>
      </c>
      <c r="K439" t="str">
        <f t="shared" si="38"/>
        <v>July</v>
      </c>
      <c r="L439" t="str">
        <f t="shared" si="39"/>
        <v>2023</v>
      </c>
    </row>
    <row r="440" spans="1:12" x14ac:dyDescent="0.3">
      <c r="A440" t="s">
        <v>48</v>
      </c>
      <c r="B440" s="1">
        <v>44901</v>
      </c>
      <c r="C440" s="1">
        <v>44919</v>
      </c>
      <c r="D440" t="s">
        <v>13</v>
      </c>
      <c r="E440">
        <v>1712</v>
      </c>
      <c r="F440" s="8">
        <v>88.17</v>
      </c>
      <c r="G440">
        <v>246</v>
      </c>
      <c r="H440">
        <f t="shared" si="35"/>
        <v>18</v>
      </c>
      <c r="I440" s="9">
        <f t="shared" si="36"/>
        <v>150947.04</v>
      </c>
      <c r="J440" s="11">
        <f t="shared" si="37"/>
        <v>0.14369158878504673</v>
      </c>
      <c r="K440" t="str">
        <f t="shared" si="38"/>
        <v>December</v>
      </c>
      <c r="L440" t="str">
        <f t="shared" si="39"/>
        <v>2022</v>
      </c>
    </row>
    <row r="441" spans="1:12" x14ac:dyDescent="0.3">
      <c r="A441" t="s">
        <v>47</v>
      </c>
      <c r="B441" s="1">
        <v>44680</v>
      </c>
      <c r="C441" s="1">
        <v>44694</v>
      </c>
      <c r="D441" t="s">
        <v>13</v>
      </c>
      <c r="E441">
        <v>539</v>
      </c>
      <c r="F441" s="8">
        <v>33.85</v>
      </c>
      <c r="G441">
        <v>34</v>
      </c>
      <c r="H441">
        <f t="shared" si="35"/>
        <v>14</v>
      </c>
      <c r="I441" s="9">
        <f t="shared" si="36"/>
        <v>18245.150000000001</v>
      </c>
      <c r="J441" s="11">
        <f t="shared" si="37"/>
        <v>6.3079777365491654E-2</v>
      </c>
      <c r="K441" t="str">
        <f t="shared" si="38"/>
        <v>April</v>
      </c>
      <c r="L441" t="str">
        <f t="shared" si="39"/>
        <v>2022</v>
      </c>
    </row>
    <row r="442" spans="1:12" x14ac:dyDescent="0.3">
      <c r="A442" t="s">
        <v>48</v>
      </c>
      <c r="B442" s="1">
        <v>44829</v>
      </c>
      <c r="C442" s="1">
        <v>44839</v>
      </c>
      <c r="D442" t="s">
        <v>9</v>
      </c>
      <c r="E442">
        <v>1459</v>
      </c>
      <c r="F442" s="8">
        <v>45.94</v>
      </c>
      <c r="G442">
        <v>212</v>
      </c>
      <c r="H442">
        <f t="shared" si="35"/>
        <v>10</v>
      </c>
      <c r="I442" s="9">
        <f t="shared" si="36"/>
        <v>67026.459999999992</v>
      </c>
      <c r="J442" s="11">
        <f t="shared" si="37"/>
        <v>0.14530500342700481</v>
      </c>
      <c r="K442" t="str">
        <f t="shared" si="38"/>
        <v>September</v>
      </c>
      <c r="L442" t="str">
        <f t="shared" si="39"/>
        <v>2022</v>
      </c>
    </row>
    <row r="443" spans="1:12" x14ac:dyDescent="0.3">
      <c r="A443" t="s">
        <v>50</v>
      </c>
      <c r="B443" s="1">
        <v>44744</v>
      </c>
      <c r="C443" s="1">
        <v>44748</v>
      </c>
      <c r="D443" t="s">
        <v>10</v>
      </c>
      <c r="E443">
        <v>834</v>
      </c>
      <c r="F443" s="8">
        <v>65.02</v>
      </c>
      <c r="G443">
        <v>0</v>
      </c>
      <c r="H443">
        <f t="shared" si="35"/>
        <v>4</v>
      </c>
      <c r="I443" s="9">
        <f t="shared" si="36"/>
        <v>54226.68</v>
      </c>
      <c r="J443" s="11">
        <f t="shared" si="37"/>
        <v>0</v>
      </c>
      <c r="K443" t="str">
        <f t="shared" si="38"/>
        <v>July</v>
      </c>
      <c r="L443" t="str">
        <f t="shared" si="39"/>
        <v>2022</v>
      </c>
    </row>
    <row r="444" spans="1:12" x14ac:dyDescent="0.3">
      <c r="A444" t="s">
        <v>50</v>
      </c>
      <c r="B444" s="1">
        <v>45156</v>
      </c>
      <c r="C444" s="1">
        <v>45170</v>
      </c>
      <c r="D444" t="s">
        <v>11</v>
      </c>
      <c r="E444">
        <v>1177</v>
      </c>
      <c r="F444" s="8">
        <v>37.369999999999997</v>
      </c>
      <c r="G444">
        <v>60</v>
      </c>
      <c r="H444">
        <f t="shared" si="35"/>
        <v>14</v>
      </c>
      <c r="I444" s="9">
        <f t="shared" si="36"/>
        <v>43984.49</v>
      </c>
      <c r="J444" s="11">
        <f t="shared" si="37"/>
        <v>5.0977060322854713E-2</v>
      </c>
      <c r="K444" t="str">
        <f t="shared" si="38"/>
        <v>August</v>
      </c>
      <c r="L444" t="str">
        <f t="shared" si="39"/>
        <v>2023</v>
      </c>
    </row>
    <row r="445" spans="1:12" x14ac:dyDescent="0.3">
      <c r="A445" t="s">
        <v>48</v>
      </c>
      <c r="B445" s="1">
        <v>44833</v>
      </c>
      <c r="C445" s="1">
        <v>44853</v>
      </c>
      <c r="D445" t="s">
        <v>10</v>
      </c>
      <c r="E445">
        <v>1466</v>
      </c>
      <c r="F445" s="8">
        <v>68.819999999999993</v>
      </c>
      <c r="G445">
        <v>211</v>
      </c>
      <c r="H445">
        <f t="shared" si="35"/>
        <v>20</v>
      </c>
      <c r="I445" s="9">
        <f t="shared" si="36"/>
        <v>100890.12</v>
      </c>
      <c r="J445" s="11">
        <f t="shared" si="37"/>
        <v>0.14392905866302866</v>
      </c>
      <c r="K445" t="str">
        <f t="shared" si="38"/>
        <v>September</v>
      </c>
      <c r="L445" t="str">
        <f t="shared" si="39"/>
        <v>2022</v>
      </c>
    </row>
    <row r="446" spans="1:12" x14ac:dyDescent="0.3">
      <c r="A446" t="s">
        <v>49</v>
      </c>
      <c r="B446" s="1">
        <v>44601</v>
      </c>
      <c r="C446" s="1">
        <v>44605</v>
      </c>
      <c r="D446" t="s">
        <v>13</v>
      </c>
      <c r="E446">
        <v>1884</v>
      </c>
      <c r="F446" s="8">
        <v>47.08</v>
      </c>
      <c r="G446">
        <v>54</v>
      </c>
      <c r="H446">
        <f t="shared" si="35"/>
        <v>4</v>
      </c>
      <c r="I446" s="9">
        <f t="shared" si="36"/>
        <v>88698.72</v>
      </c>
      <c r="J446" s="11">
        <f t="shared" si="37"/>
        <v>2.8662420382165606E-2</v>
      </c>
      <c r="K446" t="str">
        <f t="shared" si="38"/>
        <v>February</v>
      </c>
      <c r="L446" t="str">
        <f t="shared" si="39"/>
        <v>2022</v>
      </c>
    </row>
    <row r="447" spans="1:12" x14ac:dyDescent="0.3">
      <c r="A447" t="s">
        <v>47</v>
      </c>
      <c r="B447" s="1">
        <v>44673</v>
      </c>
      <c r="C447" s="1">
        <v>44689</v>
      </c>
      <c r="D447" t="s">
        <v>13</v>
      </c>
      <c r="E447">
        <v>295</v>
      </c>
      <c r="F447" s="8">
        <v>60.58</v>
      </c>
      <c r="G447">
        <v>31</v>
      </c>
      <c r="H447">
        <f t="shared" si="35"/>
        <v>16</v>
      </c>
      <c r="I447" s="9">
        <f t="shared" si="36"/>
        <v>17871.099999999999</v>
      </c>
      <c r="J447" s="11">
        <f t="shared" si="37"/>
        <v>0.10508474576271186</v>
      </c>
      <c r="K447" t="str">
        <f t="shared" si="38"/>
        <v>April</v>
      </c>
      <c r="L447" t="str">
        <f t="shared" si="39"/>
        <v>2022</v>
      </c>
    </row>
    <row r="448" spans="1:12" x14ac:dyDescent="0.3">
      <c r="A448" t="s">
        <v>50</v>
      </c>
      <c r="B448" s="1">
        <v>45172</v>
      </c>
      <c r="C448" s="1">
        <v>45173</v>
      </c>
      <c r="D448" t="s">
        <v>12</v>
      </c>
      <c r="E448">
        <v>1249</v>
      </c>
      <c r="F448" s="8">
        <v>54.18</v>
      </c>
      <c r="G448">
        <v>59</v>
      </c>
      <c r="H448">
        <f t="shared" si="35"/>
        <v>1</v>
      </c>
      <c r="I448" s="9">
        <f t="shared" si="36"/>
        <v>67670.819999999992</v>
      </c>
      <c r="J448" s="11">
        <f t="shared" si="37"/>
        <v>4.7237790232185752E-2</v>
      </c>
      <c r="K448" t="str">
        <f t="shared" si="38"/>
        <v>September</v>
      </c>
      <c r="L448" t="str">
        <f t="shared" si="39"/>
        <v>2023</v>
      </c>
    </row>
    <row r="449" spans="1:12" x14ac:dyDescent="0.3">
      <c r="A449" t="s">
        <v>48</v>
      </c>
      <c r="B449" s="1">
        <v>45006</v>
      </c>
      <c r="C449" s="1">
        <v>45025</v>
      </c>
      <c r="D449" t="s">
        <v>12</v>
      </c>
      <c r="E449">
        <v>1112</v>
      </c>
      <c r="F449" s="8">
        <v>39.06</v>
      </c>
      <c r="G449">
        <v>184</v>
      </c>
      <c r="H449">
        <f t="shared" si="35"/>
        <v>19</v>
      </c>
      <c r="I449" s="9">
        <f t="shared" si="36"/>
        <v>43434.720000000001</v>
      </c>
      <c r="J449" s="11">
        <f t="shared" si="37"/>
        <v>0.16546762589928057</v>
      </c>
      <c r="K449" t="str">
        <f t="shared" si="38"/>
        <v>March</v>
      </c>
      <c r="L449" t="str">
        <f t="shared" si="39"/>
        <v>2023</v>
      </c>
    </row>
    <row r="450" spans="1:12" x14ac:dyDescent="0.3">
      <c r="A450" t="s">
        <v>50</v>
      </c>
      <c r="B450" s="1">
        <v>44915</v>
      </c>
      <c r="C450" s="1">
        <v>44920</v>
      </c>
      <c r="D450" t="s">
        <v>9</v>
      </c>
      <c r="E450">
        <v>1550</v>
      </c>
      <c r="F450" s="8">
        <v>100.61</v>
      </c>
      <c r="G450">
        <v>66</v>
      </c>
      <c r="H450">
        <f t="shared" si="35"/>
        <v>5</v>
      </c>
      <c r="I450" s="9">
        <f t="shared" si="36"/>
        <v>155945.5</v>
      </c>
      <c r="J450" s="11">
        <f t="shared" si="37"/>
        <v>4.2580645161290322E-2</v>
      </c>
      <c r="K450" t="str">
        <f t="shared" si="38"/>
        <v>December</v>
      </c>
      <c r="L450" t="str">
        <f t="shared" si="39"/>
        <v>2022</v>
      </c>
    </row>
    <row r="451" spans="1:12" x14ac:dyDescent="0.3">
      <c r="A451" t="s">
        <v>48</v>
      </c>
      <c r="B451" s="1">
        <v>44883</v>
      </c>
      <c r="C451" s="1">
        <v>44884</v>
      </c>
      <c r="D451" t="s">
        <v>13</v>
      </c>
      <c r="E451">
        <v>1755</v>
      </c>
      <c r="F451" s="8">
        <v>82.66</v>
      </c>
      <c r="G451">
        <v>258</v>
      </c>
      <c r="H451">
        <f t="shared" si="35"/>
        <v>1</v>
      </c>
      <c r="I451" s="9">
        <f t="shared" si="36"/>
        <v>145068.29999999999</v>
      </c>
      <c r="J451" s="11">
        <f t="shared" si="37"/>
        <v>0.14700854700854701</v>
      </c>
      <c r="K451" t="str">
        <f t="shared" si="38"/>
        <v>November</v>
      </c>
      <c r="L451" t="str">
        <f t="shared" si="39"/>
        <v>2022</v>
      </c>
    </row>
    <row r="452" spans="1:12" x14ac:dyDescent="0.3">
      <c r="A452" t="s">
        <v>50</v>
      </c>
      <c r="B452" s="1">
        <v>45008</v>
      </c>
      <c r="C452" s="1">
        <v>45016</v>
      </c>
      <c r="D452" t="s">
        <v>12</v>
      </c>
      <c r="E452">
        <v>808</v>
      </c>
      <c r="F452" s="8">
        <v>24.19</v>
      </c>
      <c r="G452">
        <v>39</v>
      </c>
      <c r="H452">
        <f t="shared" ref="H452:H515" si="40" xml:space="preserve"> C452-B452</f>
        <v>8</v>
      </c>
      <c r="I452" s="9">
        <f t="shared" ref="I452:I515" si="41">F452*E452</f>
        <v>19545.52</v>
      </c>
      <c r="J452" s="11">
        <f t="shared" ref="J452:J515" si="42">(G452/E452)</f>
        <v>4.8267326732673269E-2</v>
      </c>
      <c r="K452" t="str">
        <f t="shared" ref="K452:K515" si="43">TEXT(B452,"mmmm")</f>
        <v>March</v>
      </c>
      <c r="L452" t="str">
        <f t="shared" ref="L452:L515" si="44">TEXT(B452,"yyyy")</f>
        <v>2023</v>
      </c>
    </row>
    <row r="453" spans="1:12" x14ac:dyDescent="0.3">
      <c r="A453" t="s">
        <v>46</v>
      </c>
      <c r="B453" s="1">
        <v>45182</v>
      </c>
      <c r="C453" s="1">
        <v>45188</v>
      </c>
      <c r="D453" t="s">
        <v>12</v>
      </c>
      <c r="E453">
        <v>587</v>
      </c>
      <c r="F453" s="8">
        <v>96.98</v>
      </c>
      <c r="G453">
        <v>14</v>
      </c>
      <c r="H453">
        <f t="shared" si="40"/>
        <v>6</v>
      </c>
      <c r="I453" s="9">
        <f t="shared" si="41"/>
        <v>56927.26</v>
      </c>
      <c r="J453" s="11">
        <f t="shared" si="42"/>
        <v>2.385008517887564E-2</v>
      </c>
      <c r="K453" t="str">
        <f t="shared" si="43"/>
        <v>September</v>
      </c>
      <c r="L453" t="str">
        <f t="shared" si="44"/>
        <v>2023</v>
      </c>
    </row>
    <row r="454" spans="1:12" x14ac:dyDescent="0.3">
      <c r="A454" t="s">
        <v>49</v>
      </c>
      <c r="B454" s="1">
        <v>45085</v>
      </c>
      <c r="C454" s="1">
        <v>45088</v>
      </c>
      <c r="D454" t="s">
        <v>10</v>
      </c>
      <c r="E454">
        <v>1940</v>
      </c>
      <c r="F454" s="8">
        <v>58.45</v>
      </c>
      <c r="G454">
        <v>54</v>
      </c>
      <c r="H454">
        <f t="shared" si="40"/>
        <v>3</v>
      </c>
      <c r="I454" s="9">
        <f t="shared" si="41"/>
        <v>113393</v>
      </c>
      <c r="J454" s="11">
        <f t="shared" si="42"/>
        <v>2.7835051546391754E-2</v>
      </c>
      <c r="K454" t="str">
        <f t="shared" si="43"/>
        <v>June</v>
      </c>
      <c r="L454" t="str">
        <f t="shared" si="44"/>
        <v>2023</v>
      </c>
    </row>
    <row r="455" spans="1:12" x14ac:dyDescent="0.3">
      <c r="A455" t="s">
        <v>47</v>
      </c>
      <c r="B455" s="1">
        <v>44680</v>
      </c>
      <c r="C455" s="1">
        <v>44692</v>
      </c>
      <c r="D455" t="s">
        <v>9</v>
      </c>
      <c r="E455">
        <v>1891</v>
      </c>
      <c r="F455" s="8">
        <v>91.87</v>
      </c>
      <c r="G455">
        <v>158</v>
      </c>
      <c r="H455">
        <f t="shared" si="40"/>
        <v>12</v>
      </c>
      <c r="I455" s="9">
        <f t="shared" si="41"/>
        <v>173726.17</v>
      </c>
      <c r="J455" s="11">
        <f t="shared" si="42"/>
        <v>8.3553675304071914E-2</v>
      </c>
      <c r="K455" t="str">
        <f t="shared" si="43"/>
        <v>April</v>
      </c>
      <c r="L455" t="str">
        <f t="shared" si="44"/>
        <v>2022</v>
      </c>
    </row>
    <row r="456" spans="1:12" x14ac:dyDescent="0.3">
      <c r="A456" t="s">
        <v>49</v>
      </c>
      <c r="B456" s="1">
        <v>44571</v>
      </c>
      <c r="C456" s="1">
        <v>44582</v>
      </c>
      <c r="D456" t="s">
        <v>11</v>
      </c>
      <c r="E456">
        <v>487</v>
      </c>
      <c r="F456" s="8">
        <v>11.18</v>
      </c>
      <c r="G456">
        <v>15</v>
      </c>
      <c r="H456">
        <f t="shared" si="40"/>
        <v>11</v>
      </c>
      <c r="I456" s="9">
        <f t="shared" si="41"/>
        <v>5444.66</v>
      </c>
      <c r="J456" s="11">
        <f t="shared" si="42"/>
        <v>3.0800821355236138E-2</v>
      </c>
      <c r="K456" t="str">
        <f t="shared" si="43"/>
        <v>January</v>
      </c>
      <c r="L456" t="str">
        <f t="shared" si="44"/>
        <v>2022</v>
      </c>
    </row>
    <row r="457" spans="1:12" x14ac:dyDescent="0.3">
      <c r="A457" t="s">
        <v>49</v>
      </c>
      <c r="B457" s="1">
        <v>45152</v>
      </c>
      <c r="C457" s="1">
        <v>45169</v>
      </c>
      <c r="D457" t="s">
        <v>10</v>
      </c>
      <c r="E457">
        <v>457</v>
      </c>
      <c r="F457" s="8">
        <v>52.85</v>
      </c>
      <c r="G457">
        <v>16</v>
      </c>
      <c r="H457">
        <f t="shared" si="40"/>
        <v>17</v>
      </c>
      <c r="I457" s="9">
        <f t="shared" si="41"/>
        <v>24152.45</v>
      </c>
      <c r="J457" s="11">
        <f t="shared" si="42"/>
        <v>3.5010940919037198E-2</v>
      </c>
      <c r="K457" t="str">
        <f t="shared" si="43"/>
        <v>August</v>
      </c>
      <c r="L457" t="str">
        <f t="shared" si="44"/>
        <v>2023</v>
      </c>
    </row>
    <row r="458" spans="1:12" x14ac:dyDescent="0.3">
      <c r="A458" t="s">
        <v>47</v>
      </c>
      <c r="B458" s="1">
        <v>44756</v>
      </c>
      <c r="C458" s="1">
        <v>44769</v>
      </c>
      <c r="D458" t="s">
        <v>9</v>
      </c>
      <c r="E458">
        <v>574</v>
      </c>
      <c r="F458" s="8">
        <v>12.38</v>
      </c>
      <c r="G458">
        <v>0</v>
      </c>
      <c r="H458">
        <f t="shared" si="40"/>
        <v>13</v>
      </c>
      <c r="I458" s="9">
        <f t="shared" si="41"/>
        <v>7106.1200000000008</v>
      </c>
      <c r="J458" s="11">
        <f t="shared" si="42"/>
        <v>0</v>
      </c>
      <c r="K458" t="str">
        <f t="shared" si="43"/>
        <v>July</v>
      </c>
      <c r="L458" t="str">
        <f t="shared" si="44"/>
        <v>2022</v>
      </c>
    </row>
    <row r="459" spans="1:12" x14ac:dyDescent="0.3">
      <c r="A459" t="s">
        <v>49</v>
      </c>
      <c r="B459" s="1">
        <v>44822</v>
      </c>
      <c r="C459" s="1">
        <v>44824</v>
      </c>
      <c r="D459" t="s">
        <v>9</v>
      </c>
      <c r="E459">
        <v>877</v>
      </c>
      <c r="F459" s="8">
        <v>35.549999999999997</v>
      </c>
      <c r="G459">
        <v>24</v>
      </c>
      <c r="H459">
        <f t="shared" si="40"/>
        <v>2</v>
      </c>
      <c r="I459" s="9">
        <f t="shared" si="41"/>
        <v>31177.35</v>
      </c>
      <c r="J459" s="11">
        <f t="shared" si="42"/>
        <v>2.7366020524515394E-2</v>
      </c>
      <c r="K459" t="str">
        <f t="shared" si="43"/>
        <v>September</v>
      </c>
      <c r="L459" t="str">
        <f t="shared" si="44"/>
        <v>2022</v>
      </c>
    </row>
    <row r="460" spans="1:12" x14ac:dyDescent="0.3">
      <c r="A460" t="s">
        <v>46</v>
      </c>
      <c r="B460" s="1">
        <v>44607</v>
      </c>
      <c r="C460" s="1">
        <v>44619</v>
      </c>
      <c r="D460" t="s">
        <v>10</v>
      </c>
      <c r="E460">
        <v>1579</v>
      </c>
      <c r="F460" s="8">
        <v>59.04</v>
      </c>
      <c r="G460">
        <v>29</v>
      </c>
      <c r="H460">
        <f t="shared" si="40"/>
        <v>12</v>
      </c>
      <c r="I460" s="9">
        <f t="shared" si="41"/>
        <v>93224.16</v>
      </c>
      <c r="J460" s="11">
        <f t="shared" si="42"/>
        <v>1.8366054464851171E-2</v>
      </c>
      <c r="K460" t="str">
        <f t="shared" si="43"/>
        <v>February</v>
      </c>
      <c r="L460" t="str">
        <f t="shared" si="44"/>
        <v>2022</v>
      </c>
    </row>
    <row r="461" spans="1:12" x14ac:dyDescent="0.3">
      <c r="A461" t="s">
        <v>48</v>
      </c>
      <c r="B461" s="1">
        <v>45287</v>
      </c>
      <c r="C461" s="1">
        <v>45288</v>
      </c>
      <c r="D461" t="s">
        <v>12</v>
      </c>
      <c r="E461">
        <v>952</v>
      </c>
      <c r="F461" s="8">
        <v>74.72</v>
      </c>
      <c r="G461">
        <v>0</v>
      </c>
      <c r="H461">
        <f t="shared" si="40"/>
        <v>1</v>
      </c>
      <c r="I461" s="9">
        <f t="shared" si="41"/>
        <v>71133.440000000002</v>
      </c>
      <c r="J461" s="11">
        <f t="shared" si="42"/>
        <v>0</v>
      </c>
      <c r="K461" t="str">
        <f t="shared" si="43"/>
        <v>December</v>
      </c>
      <c r="L461" t="str">
        <f t="shared" si="44"/>
        <v>2023</v>
      </c>
    </row>
    <row r="462" spans="1:12" x14ac:dyDescent="0.3">
      <c r="A462" t="s">
        <v>47</v>
      </c>
      <c r="B462" s="1">
        <v>45008</v>
      </c>
      <c r="C462" s="1">
        <v>45011</v>
      </c>
      <c r="D462" t="s">
        <v>12</v>
      </c>
      <c r="E462">
        <v>1898</v>
      </c>
      <c r="F462" s="8">
        <v>35.53</v>
      </c>
      <c r="G462">
        <v>187</v>
      </c>
      <c r="H462">
        <f t="shared" si="40"/>
        <v>3</v>
      </c>
      <c r="I462" s="9">
        <f t="shared" si="41"/>
        <v>67435.94</v>
      </c>
      <c r="J462" s="11">
        <f t="shared" si="42"/>
        <v>9.8524762908324556E-2</v>
      </c>
      <c r="K462" t="str">
        <f t="shared" si="43"/>
        <v>March</v>
      </c>
      <c r="L462" t="str">
        <f t="shared" si="44"/>
        <v>2023</v>
      </c>
    </row>
    <row r="463" spans="1:12" x14ac:dyDescent="0.3">
      <c r="A463" t="s">
        <v>49</v>
      </c>
      <c r="B463" s="1">
        <v>44956</v>
      </c>
      <c r="C463" s="1">
        <v>44973</v>
      </c>
      <c r="D463" t="s">
        <v>11</v>
      </c>
      <c r="E463">
        <v>970</v>
      </c>
      <c r="F463" s="8">
        <v>86.91</v>
      </c>
      <c r="G463">
        <v>18</v>
      </c>
      <c r="H463">
        <f t="shared" si="40"/>
        <v>17</v>
      </c>
      <c r="I463" s="9">
        <f t="shared" si="41"/>
        <v>84302.7</v>
      </c>
      <c r="J463" s="11">
        <f t="shared" si="42"/>
        <v>1.8556701030927835E-2</v>
      </c>
      <c r="K463" t="str">
        <f t="shared" si="43"/>
        <v>January</v>
      </c>
      <c r="L463" t="str">
        <f t="shared" si="44"/>
        <v>2023</v>
      </c>
    </row>
    <row r="464" spans="1:12" x14ac:dyDescent="0.3">
      <c r="A464" t="s">
        <v>50</v>
      </c>
      <c r="B464" s="1">
        <v>45094</v>
      </c>
      <c r="C464" s="1">
        <v>45105</v>
      </c>
      <c r="D464" t="s">
        <v>11</v>
      </c>
      <c r="E464">
        <v>734</v>
      </c>
      <c r="F464" s="8">
        <v>92.38</v>
      </c>
      <c r="G464">
        <v>34</v>
      </c>
      <c r="H464">
        <f t="shared" si="40"/>
        <v>11</v>
      </c>
      <c r="I464" s="9">
        <f t="shared" si="41"/>
        <v>67806.92</v>
      </c>
      <c r="J464" s="11">
        <f t="shared" si="42"/>
        <v>4.632152588555858E-2</v>
      </c>
      <c r="K464" t="str">
        <f t="shared" si="43"/>
        <v>June</v>
      </c>
      <c r="L464" t="str">
        <f t="shared" si="44"/>
        <v>2023</v>
      </c>
    </row>
    <row r="465" spans="1:12" x14ac:dyDescent="0.3">
      <c r="A465" t="s">
        <v>46</v>
      </c>
      <c r="B465" s="1">
        <v>45113</v>
      </c>
      <c r="C465" s="1">
        <v>45125</v>
      </c>
      <c r="D465" t="s">
        <v>9</v>
      </c>
      <c r="E465">
        <v>69</v>
      </c>
      <c r="F465" s="8">
        <v>107.47</v>
      </c>
      <c r="G465">
        <v>0</v>
      </c>
      <c r="H465">
        <f t="shared" si="40"/>
        <v>12</v>
      </c>
      <c r="I465" s="9">
        <f t="shared" si="41"/>
        <v>7415.43</v>
      </c>
      <c r="J465" s="11">
        <f t="shared" si="42"/>
        <v>0</v>
      </c>
      <c r="K465" t="str">
        <f t="shared" si="43"/>
        <v>July</v>
      </c>
      <c r="L465" t="str">
        <f t="shared" si="44"/>
        <v>2023</v>
      </c>
    </row>
    <row r="466" spans="1:12" x14ac:dyDescent="0.3">
      <c r="A466" t="s">
        <v>48</v>
      </c>
      <c r="B466" s="1">
        <v>45265</v>
      </c>
      <c r="C466" s="1">
        <v>45271</v>
      </c>
      <c r="D466" t="s">
        <v>11</v>
      </c>
      <c r="E466">
        <v>370</v>
      </c>
      <c r="F466" s="8">
        <v>63.9</v>
      </c>
      <c r="G466">
        <v>59</v>
      </c>
      <c r="H466">
        <f t="shared" si="40"/>
        <v>6</v>
      </c>
      <c r="I466" s="9">
        <f t="shared" si="41"/>
        <v>23643</v>
      </c>
      <c r="J466" s="11">
        <f t="shared" si="42"/>
        <v>0.15945945945945947</v>
      </c>
      <c r="K466" t="str">
        <f t="shared" si="43"/>
        <v>December</v>
      </c>
      <c r="L466" t="str">
        <f t="shared" si="44"/>
        <v>2023</v>
      </c>
    </row>
    <row r="467" spans="1:12" x14ac:dyDescent="0.3">
      <c r="A467" t="s">
        <v>48</v>
      </c>
      <c r="B467" s="1">
        <v>45248</v>
      </c>
      <c r="C467" s="1">
        <v>45263</v>
      </c>
      <c r="D467" t="s">
        <v>10</v>
      </c>
      <c r="E467">
        <v>1849</v>
      </c>
      <c r="F467" s="8">
        <v>28.25</v>
      </c>
      <c r="G467">
        <v>271</v>
      </c>
      <c r="H467">
        <f t="shared" si="40"/>
        <v>15</v>
      </c>
      <c r="I467" s="9">
        <f t="shared" si="41"/>
        <v>52234.25</v>
      </c>
      <c r="J467" s="11">
        <f t="shared" si="42"/>
        <v>0.14656571119524067</v>
      </c>
      <c r="K467" t="str">
        <f t="shared" si="43"/>
        <v>November</v>
      </c>
      <c r="L467" t="str">
        <f t="shared" si="44"/>
        <v>2023</v>
      </c>
    </row>
    <row r="468" spans="1:12" x14ac:dyDescent="0.3">
      <c r="A468" t="s">
        <v>49</v>
      </c>
      <c r="B468" s="1">
        <v>44587</v>
      </c>
      <c r="C468" s="1">
        <v>44595</v>
      </c>
      <c r="D468" t="s">
        <v>12</v>
      </c>
      <c r="E468">
        <v>1419</v>
      </c>
      <c r="F468" s="8">
        <v>50.14</v>
      </c>
      <c r="G468">
        <v>0</v>
      </c>
      <c r="H468">
        <f t="shared" si="40"/>
        <v>8</v>
      </c>
      <c r="I468" s="9">
        <f t="shared" si="41"/>
        <v>71148.66</v>
      </c>
      <c r="J468" s="11">
        <f t="shared" si="42"/>
        <v>0</v>
      </c>
      <c r="K468" t="str">
        <f t="shared" si="43"/>
        <v>January</v>
      </c>
      <c r="L468" t="str">
        <f t="shared" si="44"/>
        <v>2022</v>
      </c>
    </row>
    <row r="469" spans="1:12" x14ac:dyDescent="0.3">
      <c r="A469" t="s">
        <v>47</v>
      </c>
      <c r="B469" s="1">
        <v>45003</v>
      </c>
      <c r="C469" s="1">
        <v>45006</v>
      </c>
      <c r="D469" t="s">
        <v>9</v>
      </c>
      <c r="E469">
        <v>703</v>
      </c>
      <c r="F469" s="8">
        <v>98.75</v>
      </c>
      <c r="G469">
        <v>59</v>
      </c>
      <c r="H469">
        <f t="shared" si="40"/>
        <v>3</v>
      </c>
      <c r="I469" s="9">
        <f t="shared" si="41"/>
        <v>69421.25</v>
      </c>
      <c r="J469" s="11">
        <f t="shared" si="42"/>
        <v>8.392603129445235E-2</v>
      </c>
      <c r="K469" t="str">
        <f t="shared" si="43"/>
        <v>March</v>
      </c>
      <c r="L469" t="str">
        <f t="shared" si="44"/>
        <v>2023</v>
      </c>
    </row>
    <row r="470" spans="1:12" x14ac:dyDescent="0.3">
      <c r="A470" t="s">
        <v>50</v>
      </c>
      <c r="B470" s="1">
        <v>44633</v>
      </c>
      <c r="C470" s="1">
        <v>44648</v>
      </c>
      <c r="D470" t="s">
        <v>13</v>
      </c>
      <c r="E470">
        <v>1021</v>
      </c>
      <c r="F470" s="8">
        <v>20.8</v>
      </c>
      <c r="G470">
        <v>37</v>
      </c>
      <c r="H470">
        <f t="shared" si="40"/>
        <v>15</v>
      </c>
      <c r="I470" s="9">
        <f t="shared" si="41"/>
        <v>21236.799999999999</v>
      </c>
      <c r="J470" s="11">
        <f t="shared" si="42"/>
        <v>3.6238981390793339E-2</v>
      </c>
      <c r="K470" t="str">
        <f t="shared" si="43"/>
        <v>March</v>
      </c>
      <c r="L470" t="str">
        <f t="shared" si="44"/>
        <v>2022</v>
      </c>
    </row>
    <row r="471" spans="1:12" x14ac:dyDescent="0.3">
      <c r="A471" t="s">
        <v>47</v>
      </c>
      <c r="B471" s="1">
        <v>45242</v>
      </c>
      <c r="C471" s="1">
        <v>45249</v>
      </c>
      <c r="D471" t="s">
        <v>9</v>
      </c>
      <c r="E471">
        <v>1956</v>
      </c>
      <c r="F471" s="8">
        <v>68.69</v>
      </c>
      <c r="G471">
        <v>0</v>
      </c>
      <c r="H471">
        <f t="shared" si="40"/>
        <v>7</v>
      </c>
      <c r="I471" s="9">
        <f t="shared" si="41"/>
        <v>134357.63999999998</v>
      </c>
      <c r="J471" s="11">
        <f t="shared" si="42"/>
        <v>0</v>
      </c>
      <c r="K471" t="str">
        <f t="shared" si="43"/>
        <v>November</v>
      </c>
      <c r="L471" t="str">
        <f t="shared" si="44"/>
        <v>2023</v>
      </c>
    </row>
    <row r="472" spans="1:12" x14ac:dyDescent="0.3">
      <c r="A472" t="s">
        <v>48</v>
      </c>
      <c r="B472" s="1">
        <v>44900</v>
      </c>
      <c r="C472" s="1">
        <v>44907</v>
      </c>
      <c r="D472" t="s">
        <v>9</v>
      </c>
      <c r="E472">
        <v>520</v>
      </c>
      <c r="F472" s="8">
        <v>36.57</v>
      </c>
      <c r="G472">
        <v>67</v>
      </c>
      <c r="H472">
        <f t="shared" si="40"/>
        <v>7</v>
      </c>
      <c r="I472" s="9">
        <f t="shared" si="41"/>
        <v>19016.400000000001</v>
      </c>
      <c r="J472" s="11">
        <f t="shared" si="42"/>
        <v>0.12884615384615383</v>
      </c>
      <c r="K472" t="str">
        <f t="shared" si="43"/>
        <v>December</v>
      </c>
      <c r="L472" t="str">
        <f t="shared" si="44"/>
        <v>2022</v>
      </c>
    </row>
    <row r="473" spans="1:12" x14ac:dyDescent="0.3">
      <c r="A473" t="s">
        <v>48</v>
      </c>
      <c r="B473" s="1">
        <v>45200</v>
      </c>
      <c r="C473" s="1">
        <v>45211</v>
      </c>
      <c r="D473" t="s">
        <v>10</v>
      </c>
      <c r="E473">
        <v>1216</v>
      </c>
      <c r="F473" s="8">
        <v>66.16</v>
      </c>
      <c r="G473">
        <v>179</v>
      </c>
      <c r="H473">
        <f t="shared" si="40"/>
        <v>11</v>
      </c>
      <c r="I473" s="9">
        <f t="shared" si="41"/>
        <v>80450.559999999998</v>
      </c>
      <c r="J473" s="11">
        <f t="shared" si="42"/>
        <v>0.14720394736842105</v>
      </c>
      <c r="K473" t="str">
        <f t="shared" si="43"/>
        <v>October</v>
      </c>
      <c r="L473" t="str">
        <f t="shared" si="44"/>
        <v>2023</v>
      </c>
    </row>
    <row r="474" spans="1:12" x14ac:dyDescent="0.3">
      <c r="A474" t="s">
        <v>48</v>
      </c>
      <c r="B474" s="1">
        <v>45241</v>
      </c>
      <c r="C474" s="1">
        <v>45259</v>
      </c>
      <c r="D474" t="s">
        <v>11</v>
      </c>
      <c r="E474">
        <v>1427</v>
      </c>
      <c r="F474" s="8">
        <v>93.99</v>
      </c>
      <c r="G474">
        <v>213</v>
      </c>
      <c r="H474">
        <f t="shared" si="40"/>
        <v>18</v>
      </c>
      <c r="I474" s="9">
        <f t="shared" si="41"/>
        <v>134123.72999999998</v>
      </c>
      <c r="J474" s="11">
        <f t="shared" si="42"/>
        <v>0.14926419060967064</v>
      </c>
      <c r="K474" t="str">
        <f t="shared" si="43"/>
        <v>November</v>
      </c>
      <c r="L474" t="str">
        <f t="shared" si="44"/>
        <v>2023</v>
      </c>
    </row>
    <row r="475" spans="1:12" x14ac:dyDescent="0.3">
      <c r="A475" t="s">
        <v>49</v>
      </c>
      <c r="B475" s="1">
        <v>44689</v>
      </c>
      <c r="C475" s="1">
        <v>44691</v>
      </c>
      <c r="D475" t="s">
        <v>13</v>
      </c>
      <c r="E475">
        <v>883</v>
      </c>
      <c r="F475" s="8">
        <v>29.15</v>
      </c>
      <c r="G475">
        <v>14</v>
      </c>
      <c r="H475">
        <f t="shared" si="40"/>
        <v>2</v>
      </c>
      <c r="I475" s="9">
        <f t="shared" si="41"/>
        <v>25739.449999999997</v>
      </c>
      <c r="J475" s="11">
        <f t="shared" si="42"/>
        <v>1.5855039637599093E-2</v>
      </c>
      <c r="K475" t="str">
        <f t="shared" si="43"/>
        <v>May</v>
      </c>
      <c r="L475" t="str">
        <f t="shared" si="44"/>
        <v>2022</v>
      </c>
    </row>
    <row r="476" spans="1:12" x14ac:dyDescent="0.3">
      <c r="A476" t="s">
        <v>48</v>
      </c>
      <c r="B476" s="1">
        <v>44869</v>
      </c>
      <c r="C476" s="1">
        <v>44876</v>
      </c>
      <c r="D476" t="s">
        <v>11</v>
      </c>
      <c r="E476">
        <v>1873</v>
      </c>
      <c r="F476" s="8">
        <v>11.54</v>
      </c>
      <c r="G476">
        <v>284</v>
      </c>
      <c r="H476">
        <f t="shared" si="40"/>
        <v>7</v>
      </c>
      <c r="I476" s="9">
        <f t="shared" si="41"/>
        <v>21614.42</v>
      </c>
      <c r="J476" s="11">
        <f t="shared" si="42"/>
        <v>0.15162840363053925</v>
      </c>
      <c r="K476" t="str">
        <f t="shared" si="43"/>
        <v>November</v>
      </c>
      <c r="L476" t="str">
        <f t="shared" si="44"/>
        <v>2022</v>
      </c>
    </row>
    <row r="477" spans="1:12" x14ac:dyDescent="0.3">
      <c r="A477" t="s">
        <v>49</v>
      </c>
      <c r="B477" s="1">
        <v>45081</v>
      </c>
      <c r="C477" s="1">
        <v>45083</v>
      </c>
      <c r="D477" t="s">
        <v>9</v>
      </c>
      <c r="E477">
        <v>776</v>
      </c>
      <c r="F477" s="8">
        <v>24.22</v>
      </c>
      <c r="G477">
        <v>27</v>
      </c>
      <c r="H477">
        <f t="shared" si="40"/>
        <v>2</v>
      </c>
      <c r="I477" s="9">
        <f t="shared" si="41"/>
        <v>18794.719999999998</v>
      </c>
      <c r="J477" s="11">
        <f t="shared" si="42"/>
        <v>3.4793814432989692E-2</v>
      </c>
      <c r="K477" t="str">
        <f t="shared" si="43"/>
        <v>June</v>
      </c>
      <c r="L477" t="str">
        <f t="shared" si="44"/>
        <v>2023</v>
      </c>
    </row>
    <row r="478" spans="1:12" x14ac:dyDescent="0.3">
      <c r="A478" t="s">
        <v>48</v>
      </c>
      <c r="B478" s="1">
        <v>44878</v>
      </c>
      <c r="C478" s="1">
        <v>44889</v>
      </c>
      <c r="D478" t="s">
        <v>13</v>
      </c>
      <c r="E478">
        <v>903</v>
      </c>
      <c r="F478" s="8">
        <v>95.55</v>
      </c>
      <c r="G478">
        <v>149</v>
      </c>
      <c r="H478">
        <f t="shared" si="40"/>
        <v>11</v>
      </c>
      <c r="I478" s="9">
        <f t="shared" si="41"/>
        <v>86281.65</v>
      </c>
      <c r="J478" s="11">
        <f t="shared" si="42"/>
        <v>0.16500553709856036</v>
      </c>
      <c r="K478" t="str">
        <f t="shared" si="43"/>
        <v>November</v>
      </c>
      <c r="L478" t="str">
        <f t="shared" si="44"/>
        <v>2022</v>
      </c>
    </row>
    <row r="479" spans="1:12" x14ac:dyDescent="0.3">
      <c r="A479" t="s">
        <v>49</v>
      </c>
      <c r="B479" s="1">
        <v>45244</v>
      </c>
      <c r="C479" s="1">
        <v>45256</v>
      </c>
      <c r="D479" t="s">
        <v>13</v>
      </c>
      <c r="E479">
        <v>100</v>
      </c>
      <c r="F479" s="8">
        <v>98.4</v>
      </c>
      <c r="G479">
        <v>3</v>
      </c>
      <c r="H479">
        <f t="shared" si="40"/>
        <v>12</v>
      </c>
      <c r="I479" s="9">
        <f t="shared" si="41"/>
        <v>9840</v>
      </c>
      <c r="J479" s="11">
        <f t="shared" si="42"/>
        <v>0.03</v>
      </c>
      <c r="K479" t="str">
        <f t="shared" si="43"/>
        <v>November</v>
      </c>
      <c r="L479" t="str">
        <f t="shared" si="44"/>
        <v>2023</v>
      </c>
    </row>
    <row r="480" spans="1:12" x14ac:dyDescent="0.3">
      <c r="A480" t="s">
        <v>49</v>
      </c>
      <c r="B480" s="1">
        <v>44980</v>
      </c>
      <c r="C480" s="1">
        <v>44993</v>
      </c>
      <c r="D480" t="s">
        <v>9</v>
      </c>
      <c r="E480">
        <v>1738</v>
      </c>
      <c r="F480" s="8">
        <v>67.91</v>
      </c>
      <c r="G480">
        <v>0</v>
      </c>
      <c r="H480">
        <f t="shared" si="40"/>
        <v>13</v>
      </c>
      <c r="I480" s="9">
        <f t="shared" si="41"/>
        <v>118027.57999999999</v>
      </c>
      <c r="J480" s="11">
        <f t="shared" si="42"/>
        <v>0</v>
      </c>
      <c r="K480" t="str">
        <f t="shared" si="43"/>
        <v>February</v>
      </c>
      <c r="L480" t="str">
        <f t="shared" si="44"/>
        <v>2023</v>
      </c>
    </row>
    <row r="481" spans="1:12" x14ac:dyDescent="0.3">
      <c r="A481" t="s">
        <v>48</v>
      </c>
      <c r="B481" s="1">
        <v>44896</v>
      </c>
      <c r="C481" s="1">
        <v>44909</v>
      </c>
      <c r="D481" t="s">
        <v>11</v>
      </c>
      <c r="E481">
        <v>1771</v>
      </c>
      <c r="F481" s="8">
        <v>67.569999999999993</v>
      </c>
      <c r="G481">
        <v>280</v>
      </c>
      <c r="H481">
        <f t="shared" si="40"/>
        <v>13</v>
      </c>
      <c r="I481" s="9">
        <f t="shared" si="41"/>
        <v>119666.46999999999</v>
      </c>
      <c r="J481" s="11">
        <f t="shared" si="42"/>
        <v>0.15810276679841898</v>
      </c>
      <c r="K481" t="str">
        <f t="shared" si="43"/>
        <v>December</v>
      </c>
      <c r="L481" t="str">
        <f t="shared" si="44"/>
        <v>2022</v>
      </c>
    </row>
    <row r="482" spans="1:12" x14ac:dyDescent="0.3">
      <c r="A482" t="s">
        <v>49</v>
      </c>
      <c r="B482" s="1">
        <v>44974</v>
      </c>
      <c r="C482" s="1">
        <v>44980</v>
      </c>
      <c r="D482" t="s">
        <v>13</v>
      </c>
      <c r="E482">
        <v>624</v>
      </c>
      <c r="F482" s="8">
        <v>74.39</v>
      </c>
      <c r="G482">
        <v>18</v>
      </c>
      <c r="H482">
        <f t="shared" si="40"/>
        <v>6</v>
      </c>
      <c r="I482" s="9">
        <f t="shared" si="41"/>
        <v>46419.360000000001</v>
      </c>
      <c r="J482" s="11">
        <f t="shared" si="42"/>
        <v>2.8846153846153848E-2</v>
      </c>
      <c r="K482" t="str">
        <f t="shared" si="43"/>
        <v>February</v>
      </c>
      <c r="L482" t="str">
        <f t="shared" si="44"/>
        <v>2023</v>
      </c>
    </row>
    <row r="483" spans="1:12" x14ac:dyDescent="0.3">
      <c r="A483" t="s">
        <v>46</v>
      </c>
      <c r="B483" s="1">
        <v>45275</v>
      </c>
      <c r="C483" s="1">
        <v>45291</v>
      </c>
      <c r="D483" t="s">
        <v>11</v>
      </c>
      <c r="E483">
        <v>1263</v>
      </c>
      <c r="F483" s="8">
        <v>28.75</v>
      </c>
      <c r="G483">
        <v>26</v>
      </c>
      <c r="H483">
        <f t="shared" si="40"/>
        <v>16</v>
      </c>
      <c r="I483" s="9">
        <f t="shared" si="41"/>
        <v>36311.25</v>
      </c>
      <c r="J483" s="11">
        <f t="shared" si="42"/>
        <v>2.0585906571654791E-2</v>
      </c>
      <c r="K483" t="str">
        <f t="shared" si="43"/>
        <v>December</v>
      </c>
      <c r="L483" t="str">
        <f t="shared" si="44"/>
        <v>2023</v>
      </c>
    </row>
    <row r="484" spans="1:12" x14ac:dyDescent="0.3">
      <c r="A484" t="s">
        <v>50</v>
      </c>
      <c r="B484" s="1">
        <v>44864</v>
      </c>
      <c r="C484" s="1">
        <v>44881</v>
      </c>
      <c r="D484" t="s">
        <v>13</v>
      </c>
      <c r="E484">
        <v>1198</v>
      </c>
      <c r="F484" s="8">
        <v>96.45</v>
      </c>
      <c r="G484">
        <v>0</v>
      </c>
      <c r="H484">
        <f t="shared" si="40"/>
        <v>17</v>
      </c>
      <c r="I484" s="9">
        <f t="shared" si="41"/>
        <v>115547.1</v>
      </c>
      <c r="J484" s="11">
        <f t="shared" si="42"/>
        <v>0</v>
      </c>
      <c r="K484" t="str">
        <f t="shared" si="43"/>
        <v>October</v>
      </c>
      <c r="L484" t="str">
        <f t="shared" si="44"/>
        <v>2022</v>
      </c>
    </row>
    <row r="485" spans="1:12" x14ac:dyDescent="0.3">
      <c r="A485" t="s">
        <v>49</v>
      </c>
      <c r="B485" s="1">
        <v>45129</v>
      </c>
      <c r="C485" s="1">
        <v>45132</v>
      </c>
      <c r="D485" t="s">
        <v>12</v>
      </c>
      <c r="E485">
        <v>199</v>
      </c>
      <c r="F485" s="8">
        <v>51.98</v>
      </c>
      <c r="G485">
        <v>0</v>
      </c>
      <c r="H485">
        <f t="shared" si="40"/>
        <v>3</v>
      </c>
      <c r="I485" s="9">
        <f t="shared" si="41"/>
        <v>10344.019999999999</v>
      </c>
      <c r="J485" s="11">
        <f t="shared" si="42"/>
        <v>0</v>
      </c>
      <c r="K485" t="str">
        <f t="shared" si="43"/>
        <v>July</v>
      </c>
      <c r="L485" t="str">
        <f t="shared" si="44"/>
        <v>2023</v>
      </c>
    </row>
    <row r="486" spans="1:12" x14ac:dyDescent="0.3">
      <c r="A486" t="s">
        <v>49</v>
      </c>
      <c r="B486" s="1">
        <v>44692</v>
      </c>
      <c r="C486" s="1">
        <v>44695</v>
      </c>
      <c r="D486" t="s">
        <v>10</v>
      </c>
      <c r="E486">
        <v>363</v>
      </c>
      <c r="F486" s="8">
        <v>45.37</v>
      </c>
      <c r="G486">
        <v>0</v>
      </c>
      <c r="H486">
        <f t="shared" si="40"/>
        <v>3</v>
      </c>
      <c r="I486" s="9">
        <f t="shared" si="41"/>
        <v>16469.309999999998</v>
      </c>
      <c r="J486" s="11">
        <f t="shared" si="42"/>
        <v>0</v>
      </c>
      <c r="K486" t="str">
        <f t="shared" si="43"/>
        <v>May</v>
      </c>
      <c r="L486" t="str">
        <f t="shared" si="44"/>
        <v>2022</v>
      </c>
    </row>
    <row r="487" spans="1:12" x14ac:dyDescent="0.3">
      <c r="A487" t="s">
        <v>46</v>
      </c>
      <c r="B487" s="1">
        <v>44758</v>
      </c>
      <c r="C487" s="1">
        <v>44764</v>
      </c>
      <c r="D487" t="s">
        <v>9</v>
      </c>
      <c r="E487">
        <v>619</v>
      </c>
      <c r="F487" s="8">
        <v>58.4</v>
      </c>
      <c r="G487">
        <v>0</v>
      </c>
      <c r="H487">
        <f t="shared" si="40"/>
        <v>6</v>
      </c>
      <c r="I487" s="9">
        <f t="shared" si="41"/>
        <v>36149.599999999999</v>
      </c>
      <c r="J487" s="11">
        <f t="shared" si="42"/>
        <v>0</v>
      </c>
      <c r="K487" t="str">
        <f t="shared" si="43"/>
        <v>July</v>
      </c>
      <c r="L487" t="str">
        <f t="shared" si="44"/>
        <v>2022</v>
      </c>
    </row>
    <row r="488" spans="1:12" x14ac:dyDescent="0.3">
      <c r="A488" t="s">
        <v>46</v>
      </c>
      <c r="B488" s="1">
        <v>44992</v>
      </c>
      <c r="C488" s="1">
        <v>45003</v>
      </c>
      <c r="D488" t="s">
        <v>10</v>
      </c>
      <c r="E488">
        <v>1415</v>
      </c>
      <c r="F488" s="8">
        <v>15.22</v>
      </c>
      <c r="G488">
        <v>30</v>
      </c>
      <c r="H488">
        <f t="shared" si="40"/>
        <v>11</v>
      </c>
      <c r="I488" s="9">
        <f t="shared" si="41"/>
        <v>21536.3</v>
      </c>
      <c r="J488" s="11">
        <f t="shared" si="42"/>
        <v>2.1201413427561839E-2</v>
      </c>
      <c r="K488" t="str">
        <f t="shared" si="43"/>
        <v>March</v>
      </c>
      <c r="L488" t="str">
        <f t="shared" si="44"/>
        <v>2023</v>
      </c>
    </row>
    <row r="489" spans="1:12" x14ac:dyDescent="0.3">
      <c r="A489" t="s">
        <v>47</v>
      </c>
      <c r="B489" s="1">
        <v>45242</v>
      </c>
      <c r="C489" s="1">
        <v>45253</v>
      </c>
      <c r="D489" t="s">
        <v>11</v>
      </c>
      <c r="E489">
        <v>354</v>
      </c>
      <c r="F489" s="8">
        <v>27.71</v>
      </c>
      <c r="G489">
        <v>39</v>
      </c>
      <c r="H489">
        <f t="shared" si="40"/>
        <v>11</v>
      </c>
      <c r="I489" s="9">
        <f t="shared" si="41"/>
        <v>9809.34</v>
      </c>
      <c r="J489" s="11">
        <f t="shared" si="42"/>
        <v>0.11016949152542373</v>
      </c>
      <c r="K489" t="str">
        <f t="shared" si="43"/>
        <v>November</v>
      </c>
      <c r="L489" t="str">
        <f t="shared" si="44"/>
        <v>2023</v>
      </c>
    </row>
    <row r="490" spans="1:12" x14ac:dyDescent="0.3">
      <c r="A490" t="s">
        <v>49</v>
      </c>
      <c r="B490" s="1">
        <v>44567</v>
      </c>
      <c r="C490" s="1">
        <v>44575</v>
      </c>
      <c r="D490" t="s">
        <v>13</v>
      </c>
      <c r="E490">
        <v>609</v>
      </c>
      <c r="F490" s="8">
        <v>92.39</v>
      </c>
      <c r="G490">
        <v>29</v>
      </c>
      <c r="H490">
        <f t="shared" si="40"/>
        <v>8</v>
      </c>
      <c r="I490" s="9">
        <f t="shared" si="41"/>
        <v>56265.51</v>
      </c>
      <c r="J490" s="11">
        <f t="shared" si="42"/>
        <v>4.7619047619047616E-2</v>
      </c>
      <c r="K490" t="str">
        <f t="shared" si="43"/>
        <v>January</v>
      </c>
      <c r="L490" t="str">
        <f t="shared" si="44"/>
        <v>2022</v>
      </c>
    </row>
    <row r="491" spans="1:12" x14ac:dyDescent="0.3">
      <c r="A491" t="s">
        <v>47</v>
      </c>
      <c r="B491" s="1">
        <v>45255</v>
      </c>
      <c r="C491" s="1">
        <v>45269</v>
      </c>
      <c r="D491" t="s">
        <v>10</v>
      </c>
      <c r="E491">
        <v>731</v>
      </c>
      <c r="F491" s="8">
        <v>19.37</v>
      </c>
      <c r="G491">
        <v>69</v>
      </c>
      <c r="H491">
        <f t="shared" si="40"/>
        <v>14</v>
      </c>
      <c r="I491" s="9">
        <f t="shared" si="41"/>
        <v>14159.470000000001</v>
      </c>
      <c r="J491" s="11">
        <f t="shared" si="42"/>
        <v>9.4391244870041038E-2</v>
      </c>
      <c r="K491" t="str">
        <f t="shared" si="43"/>
        <v>November</v>
      </c>
      <c r="L491" t="str">
        <f t="shared" si="44"/>
        <v>2023</v>
      </c>
    </row>
    <row r="492" spans="1:12" x14ac:dyDescent="0.3">
      <c r="A492" t="s">
        <v>49</v>
      </c>
      <c r="B492" s="1">
        <v>44740</v>
      </c>
      <c r="C492" s="1">
        <v>44755</v>
      </c>
      <c r="D492" t="s">
        <v>10</v>
      </c>
      <c r="E492">
        <v>887</v>
      </c>
      <c r="F492" s="8">
        <v>65.89</v>
      </c>
      <c r="G492">
        <v>29</v>
      </c>
      <c r="H492">
        <f t="shared" si="40"/>
        <v>15</v>
      </c>
      <c r="I492" s="9">
        <f t="shared" si="41"/>
        <v>58444.43</v>
      </c>
      <c r="J492" s="11">
        <f t="shared" si="42"/>
        <v>3.269447576099211E-2</v>
      </c>
      <c r="K492" t="str">
        <f t="shared" si="43"/>
        <v>June</v>
      </c>
      <c r="L492" t="str">
        <f t="shared" si="44"/>
        <v>2022</v>
      </c>
    </row>
    <row r="493" spans="1:12" x14ac:dyDescent="0.3">
      <c r="A493" t="s">
        <v>46</v>
      </c>
      <c r="B493" s="1">
        <v>45192</v>
      </c>
      <c r="C493" s="1">
        <v>45194</v>
      </c>
      <c r="D493" t="s">
        <v>10</v>
      </c>
      <c r="E493">
        <v>1856</v>
      </c>
      <c r="F493" s="8">
        <v>35.29</v>
      </c>
      <c r="G493">
        <v>26</v>
      </c>
      <c r="H493">
        <f t="shared" si="40"/>
        <v>2</v>
      </c>
      <c r="I493" s="9">
        <f t="shared" si="41"/>
        <v>65498.239999999998</v>
      </c>
      <c r="J493" s="11">
        <f t="shared" si="42"/>
        <v>1.4008620689655173E-2</v>
      </c>
      <c r="K493" t="str">
        <f t="shared" si="43"/>
        <v>September</v>
      </c>
      <c r="L493" t="str">
        <f t="shared" si="44"/>
        <v>2023</v>
      </c>
    </row>
    <row r="494" spans="1:12" x14ac:dyDescent="0.3">
      <c r="A494" t="s">
        <v>49</v>
      </c>
      <c r="B494" s="1">
        <v>45144</v>
      </c>
      <c r="C494" s="1">
        <v>45156</v>
      </c>
      <c r="D494" t="s">
        <v>9</v>
      </c>
      <c r="E494">
        <v>1127</v>
      </c>
      <c r="F494" s="8">
        <v>49.32</v>
      </c>
      <c r="G494">
        <v>30</v>
      </c>
      <c r="H494">
        <f t="shared" si="40"/>
        <v>12</v>
      </c>
      <c r="I494" s="9">
        <f t="shared" si="41"/>
        <v>55583.64</v>
      </c>
      <c r="J494" s="11">
        <f t="shared" si="42"/>
        <v>2.6619343389529725E-2</v>
      </c>
      <c r="K494" t="str">
        <f t="shared" si="43"/>
        <v>August</v>
      </c>
      <c r="L494" t="str">
        <f t="shared" si="44"/>
        <v>2023</v>
      </c>
    </row>
    <row r="495" spans="1:12" x14ac:dyDescent="0.3">
      <c r="A495" t="s">
        <v>48</v>
      </c>
      <c r="B495" s="1">
        <v>44870</v>
      </c>
      <c r="C495" s="1">
        <v>44884</v>
      </c>
      <c r="D495" t="s">
        <v>12</v>
      </c>
      <c r="E495">
        <v>1052</v>
      </c>
      <c r="F495" s="8">
        <v>37.78</v>
      </c>
      <c r="G495">
        <v>162</v>
      </c>
      <c r="H495">
        <f t="shared" si="40"/>
        <v>14</v>
      </c>
      <c r="I495" s="9">
        <f t="shared" si="41"/>
        <v>39744.559999999998</v>
      </c>
      <c r="J495" s="11">
        <f t="shared" si="42"/>
        <v>0.15399239543726237</v>
      </c>
      <c r="K495" t="str">
        <f t="shared" si="43"/>
        <v>November</v>
      </c>
      <c r="L495" t="str">
        <f t="shared" si="44"/>
        <v>2022</v>
      </c>
    </row>
    <row r="496" spans="1:12" x14ac:dyDescent="0.3">
      <c r="A496" t="s">
        <v>50</v>
      </c>
      <c r="B496" s="1">
        <v>44977</v>
      </c>
      <c r="C496" s="1">
        <v>44979</v>
      </c>
      <c r="D496" t="s">
        <v>12</v>
      </c>
      <c r="E496">
        <v>493</v>
      </c>
      <c r="F496" s="8">
        <v>44.74</v>
      </c>
      <c r="G496">
        <v>24</v>
      </c>
      <c r="H496">
        <f t="shared" si="40"/>
        <v>2</v>
      </c>
      <c r="I496" s="9">
        <f t="shared" si="41"/>
        <v>22056.82</v>
      </c>
      <c r="J496" s="11">
        <f t="shared" si="42"/>
        <v>4.8681541582150101E-2</v>
      </c>
      <c r="K496" t="str">
        <f t="shared" si="43"/>
        <v>February</v>
      </c>
      <c r="L496" t="str">
        <f t="shared" si="44"/>
        <v>2023</v>
      </c>
    </row>
    <row r="497" spans="1:12" x14ac:dyDescent="0.3">
      <c r="A497" t="s">
        <v>48</v>
      </c>
      <c r="B497" s="1">
        <v>45123</v>
      </c>
      <c r="C497" s="1">
        <v>45136</v>
      </c>
      <c r="D497" t="s">
        <v>10</v>
      </c>
      <c r="E497">
        <v>662</v>
      </c>
      <c r="F497" s="8">
        <v>81.44</v>
      </c>
      <c r="G497">
        <v>87</v>
      </c>
      <c r="H497">
        <f t="shared" si="40"/>
        <v>13</v>
      </c>
      <c r="I497" s="9">
        <f t="shared" si="41"/>
        <v>53913.279999999999</v>
      </c>
      <c r="J497" s="11">
        <f t="shared" si="42"/>
        <v>0.13141993957703926</v>
      </c>
      <c r="K497" t="str">
        <f t="shared" si="43"/>
        <v>July</v>
      </c>
      <c r="L497" t="str">
        <f t="shared" si="44"/>
        <v>2023</v>
      </c>
    </row>
    <row r="498" spans="1:12" x14ac:dyDescent="0.3">
      <c r="A498" t="s">
        <v>49</v>
      </c>
      <c r="B498" s="1">
        <v>44951</v>
      </c>
      <c r="C498" s="1">
        <v>44968</v>
      </c>
      <c r="D498" t="s">
        <v>11</v>
      </c>
      <c r="E498">
        <v>1737</v>
      </c>
      <c r="F498" s="8">
        <v>32.700000000000003</v>
      </c>
      <c r="G498">
        <v>48</v>
      </c>
      <c r="H498">
        <f t="shared" si="40"/>
        <v>17</v>
      </c>
      <c r="I498" s="9">
        <f t="shared" si="41"/>
        <v>56799.9</v>
      </c>
      <c r="J498" s="11">
        <f t="shared" si="42"/>
        <v>2.7633851468048358E-2</v>
      </c>
      <c r="K498" t="str">
        <f t="shared" si="43"/>
        <v>January</v>
      </c>
      <c r="L498" t="str">
        <f t="shared" si="44"/>
        <v>2023</v>
      </c>
    </row>
    <row r="499" spans="1:12" x14ac:dyDescent="0.3">
      <c r="A499" t="s">
        <v>46</v>
      </c>
      <c r="B499" s="1">
        <v>44855</v>
      </c>
      <c r="C499" s="1">
        <v>44875</v>
      </c>
      <c r="D499" t="s">
        <v>9</v>
      </c>
      <c r="E499">
        <v>1126</v>
      </c>
      <c r="F499" s="8">
        <v>55.22</v>
      </c>
      <c r="G499">
        <v>0</v>
      </c>
      <c r="H499">
        <f t="shared" si="40"/>
        <v>20</v>
      </c>
      <c r="I499" s="9">
        <f t="shared" si="41"/>
        <v>62177.72</v>
      </c>
      <c r="J499" s="11">
        <f t="shared" si="42"/>
        <v>0</v>
      </c>
      <c r="K499" t="str">
        <f t="shared" si="43"/>
        <v>October</v>
      </c>
      <c r="L499" t="str">
        <f t="shared" si="44"/>
        <v>2022</v>
      </c>
    </row>
    <row r="500" spans="1:12" x14ac:dyDescent="0.3">
      <c r="A500" t="s">
        <v>50</v>
      </c>
      <c r="B500" s="1">
        <v>44777</v>
      </c>
      <c r="C500" s="1">
        <v>44792</v>
      </c>
      <c r="D500" t="s">
        <v>10</v>
      </c>
      <c r="E500">
        <v>1645</v>
      </c>
      <c r="F500" s="8">
        <v>72.17</v>
      </c>
      <c r="G500">
        <v>79</v>
      </c>
      <c r="H500">
        <f t="shared" si="40"/>
        <v>15</v>
      </c>
      <c r="I500" s="9">
        <f t="shared" si="41"/>
        <v>118719.65000000001</v>
      </c>
      <c r="J500" s="11">
        <f t="shared" si="42"/>
        <v>4.8024316109422489E-2</v>
      </c>
      <c r="K500" t="str">
        <f t="shared" si="43"/>
        <v>August</v>
      </c>
      <c r="L500" t="str">
        <f t="shared" si="44"/>
        <v>2022</v>
      </c>
    </row>
    <row r="501" spans="1:12" x14ac:dyDescent="0.3">
      <c r="A501" t="s">
        <v>47</v>
      </c>
      <c r="B501" s="1">
        <v>45002</v>
      </c>
      <c r="C501" s="1">
        <v>45005</v>
      </c>
      <c r="D501" t="s">
        <v>11</v>
      </c>
      <c r="E501">
        <v>1053</v>
      </c>
      <c r="F501" s="8">
        <v>100.92</v>
      </c>
      <c r="G501">
        <v>104</v>
      </c>
      <c r="H501">
        <f t="shared" si="40"/>
        <v>3</v>
      </c>
      <c r="I501" s="9">
        <f t="shared" si="41"/>
        <v>106268.76</v>
      </c>
      <c r="J501" s="11">
        <f t="shared" si="42"/>
        <v>9.8765432098765427E-2</v>
      </c>
      <c r="K501" t="str">
        <f t="shared" si="43"/>
        <v>March</v>
      </c>
      <c r="L501" t="str">
        <f t="shared" si="44"/>
        <v>2023</v>
      </c>
    </row>
    <row r="502" spans="1:12" x14ac:dyDescent="0.3">
      <c r="A502" t="s">
        <v>49</v>
      </c>
      <c r="B502" s="1">
        <v>45155</v>
      </c>
      <c r="C502" s="1">
        <v>45167</v>
      </c>
      <c r="D502" t="s">
        <v>10</v>
      </c>
      <c r="E502">
        <v>1693</v>
      </c>
      <c r="F502" s="8">
        <v>83.14</v>
      </c>
      <c r="G502">
        <v>62</v>
      </c>
      <c r="H502">
        <f t="shared" si="40"/>
        <v>12</v>
      </c>
      <c r="I502" s="9">
        <f t="shared" si="41"/>
        <v>140756.01999999999</v>
      </c>
      <c r="J502" s="11">
        <f t="shared" si="42"/>
        <v>3.662138216184288E-2</v>
      </c>
      <c r="K502" t="str">
        <f t="shared" si="43"/>
        <v>August</v>
      </c>
      <c r="L502" t="str">
        <f t="shared" si="44"/>
        <v>2023</v>
      </c>
    </row>
    <row r="503" spans="1:12" x14ac:dyDescent="0.3">
      <c r="A503" t="s">
        <v>49</v>
      </c>
      <c r="B503" s="1">
        <v>45183</v>
      </c>
      <c r="C503" s="1">
        <v>45202</v>
      </c>
      <c r="D503" t="s">
        <v>12</v>
      </c>
      <c r="E503">
        <v>54</v>
      </c>
      <c r="F503" s="8">
        <v>32.28</v>
      </c>
      <c r="G503">
        <v>3</v>
      </c>
      <c r="H503">
        <f t="shared" si="40"/>
        <v>19</v>
      </c>
      <c r="I503" s="9">
        <f t="shared" si="41"/>
        <v>1743.1200000000001</v>
      </c>
      <c r="J503" s="11">
        <f t="shared" si="42"/>
        <v>5.5555555555555552E-2</v>
      </c>
      <c r="K503" t="str">
        <f t="shared" si="43"/>
        <v>September</v>
      </c>
      <c r="L503" t="str">
        <f t="shared" si="44"/>
        <v>2023</v>
      </c>
    </row>
    <row r="504" spans="1:12" x14ac:dyDescent="0.3">
      <c r="A504" t="s">
        <v>49</v>
      </c>
      <c r="B504" s="1">
        <v>45232</v>
      </c>
      <c r="C504" s="1">
        <v>45237</v>
      </c>
      <c r="D504" t="s">
        <v>11</v>
      </c>
      <c r="E504">
        <v>1176</v>
      </c>
      <c r="F504" s="8">
        <v>14.22</v>
      </c>
      <c r="G504">
        <v>33</v>
      </c>
      <c r="H504">
        <f t="shared" si="40"/>
        <v>5</v>
      </c>
      <c r="I504" s="9">
        <f t="shared" si="41"/>
        <v>16722.72</v>
      </c>
      <c r="J504" s="11">
        <f t="shared" si="42"/>
        <v>2.8061224489795918E-2</v>
      </c>
      <c r="K504" t="str">
        <f t="shared" si="43"/>
        <v>November</v>
      </c>
      <c r="L504" t="str">
        <f t="shared" si="44"/>
        <v>2023</v>
      </c>
    </row>
    <row r="505" spans="1:12" x14ac:dyDescent="0.3">
      <c r="A505" t="s">
        <v>49</v>
      </c>
      <c r="B505" s="1">
        <v>44891</v>
      </c>
      <c r="C505" s="1">
        <v>44903</v>
      </c>
      <c r="D505" t="s">
        <v>12</v>
      </c>
      <c r="E505">
        <v>1269</v>
      </c>
      <c r="F505" s="8">
        <v>35.28</v>
      </c>
      <c r="G505">
        <v>35</v>
      </c>
      <c r="H505">
        <f t="shared" si="40"/>
        <v>12</v>
      </c>
      <c r="I505" s="9">
        <f t="shared" si="41"/>
        <v>44770.32</v>
      </c>
      <c r="J505" s="11">
        <f t="shared" si="42"/>
        <v>2.7580772261623327E-2</v>
      </c>
      <c r="K505" t="str">
        <f t="shared" si="43"/>
        <v>November</v>
      </c>
      <c r="L505" t="str">
        <f t="shared" si="44"/>
        <v>2022</v>
      </c>
    </row>
    <row r="506" spans="1:12" x14ac:dyDescent="0.3">
      <c r="A506" t="s">
        <v>49</v>
      </c>
      <c r="B506" s="1">
        <v>45038</v>
      </c>
      <c r="C506" s="1">
        <v>45041</v>
      </c>
      <c r="D506" t="s">
        <v>12</v>
      </c>
      <c r="E506">
        <v>823</v>
      </c>
      <c r="F506" s="8">
        <v>68.319999999999993</v>
      </c>
      <c r="G506">
        <v>19</v>
      </c>
      <c r="H506">
        <f t="shared" si="40"/>
        <v>3</v>
      </c>
      <c r="I506" s="9">
        <f t="shared" si="41"/>
        <v>56227.359999999993</v>
      </c>
      <c r="J506" s="11">
        <f t="shared" si="42"/>
        <v>2.3086269744835967E-2</v>
      </c>
      <c r="K506" t="str">
        <f t="shared" si="43"/>
        <v>April</v>
      </c>
      <c r="L506" t="str">
        <f t="shared" si="44"/>
        <v>2023</v>
      </c>
    </row>
    <row r="507" spans="1:12" x14ac:dyDescent="0.3">
      <c r="A507" t="s">
        <v>47</v>
      </c>
      <c r="B507" s="1">
        <v>45014</v>
      </c>
      <c r="C507" s="1">
        <v>45031</v>
      </c>
      <c r="D507" t="s">
        <v>13</v>
      </c>
      <c r="E507">
        <v>926</v>
      </c>
      <c r="F507" s="8">
        <v>15.65</v>
      </c>
      <c r="G507">
        <v>94</v>
      </c>
      <c r="H507">
        <f t="shared" si="40"/>
        <v>17</v>
      </c>
      <c r="I507" s="9">
        <f t="shared" si="41"/>
        <v>14491.9</v>
      </c>
      <c r="J507" s="11">
        <f t="shared" si="42"/>
        <v>0.10151187904967603</v>
      </c>
      <c r="K507" t="str">
        <f t="shared" si="43"/>
        <v>March</v>
      </c>
      <c r="L507" t="str">
        <f t="shared" si="44"/>
        <v>2023</v>
      </c>
    </row>
    <row r="508" spans="1:12" x14ac:dyDescent="0.3">
      <c r="A508" t="s">
        <v>48</v>
      </c>
      <c r="B508" s="1">
        <v>45014</v>
      </c>
      <c r="C508" s="1">
        <v>45025</v>
      </c>
      <c r="D508" t="s">
        <v>13</v>
      </c>
      <c r="E508">
        <v>1041</v>
      </c>
      <c r="F508" s="8">
        <v>58.5</v>
      </c>
      <c r="G508">
        <v>170</v>
      </c>
      <c r="H508">
        <f t="shared" si="40"/>
        <v>11</v>
      </c>
      <c r="I508" s="9">
        <f t="shared" si="41"/>
        <v>60898.5</v>
      </c>
      <c r="J508" s="11">
        <f t="shared" si="42"/>
        <v>0.1633045148895293</v>
      </c>
      <c r="K508" t="str">
        <f t="shared" si="43"/>
        <v>March</v>
      </c>
      <c r="L508" t="str">
        <f t="shared" si="44"/>
        <v>2023</v>
      </c>
    </row>
    <row r="509" spans="1:12" x14ac:dyDescent="0.3">
      <c r="A509" t="s">
        <v>50</v>
      </c>
      <c r="B509" s="1">
        <v>45253</v>
      </c>
      <c r="C509" s="1">
        <v>45261</v>
      </c>
      <c r="D509" t="s">
        <v>13</v>
      </c>
      <c r="E509">
        <v>933</v>
      </c>
      <c r="F509" s="8">
        <v>70.72</v>
      </c>
      <c r="G509">
        <v>42</v>
      </c>
      <c r="H509">
        <f t="shared" si="40"/>
        <v>8</v>
      </c>
      <c r="I509" s="9">
        <f t="shared" si="41"/>
        <v>65981.759999999995</v>
      </c>
      <c r="J509" s="11">
        <f t="shared" si="42"/>
        <v>4.5016077170418008E-2</v>
      </c>
      <c r="K509" t="str">
        <f t="shared" si="43"/>
        <v>November</v>
      </c>
      <c r="L509" t="str">
        <f t="shared" si="44"/>
        <v>2023</v>
      </c>
    </row>
    <row r="510" spans="1:12" x14ac:dyDescent="0.3">
      <c r="A510" t="s">
        <v>48</v>
      </c>
      <c r="B510" s="1">
        <v>45085</v>
      </c>
      <c r="C510" s="1">
        <v>45091</v>
      </c>
      <c r="D510" t="s">
        <v>10</v>
      </c>
      <c r="E510">
        <v>96</v>
      </c>
      <c r="F510" s="8">
        <v>86.13</v>
      </c>
      <c r="G510">
        <v>12</v>
      </c>
      <c r="H510">
        <f t="shared" si="40"/>
        <v>6</v>
      </c>
      <c r="I510" s="9">
        <f t="shared" si="41"/>
        <v>8268.48</v>
      </c>
      <c r="J510" s="11">
        <f t="shared" si="42"/>
        <v>0.125</v>
      </c>
      <c r="K510" t="str">
        <f t="shared" si="43"/>
        <v>June</v>
      </c>
      <c r="L510" t="str">
        <f t="shared" si="44"/>
        <v>2023</v>
      </c>
    </row>
    <row r="511" spans="1:12" x14ac:dyDescent="0.3">
      <c r="A511" t="s">
        <v>49</v>
      </c>
      <c r="B511" s="1">
        <v>45046</v>
      </c>
      <c r="C511" s="1">
        <v>45059</v>
      </c>
      <c r="D511" t="s">
        <v>10</v>
      </c>
      <c r="E511">
        <v>916</v>
      </c>
      <c r="F511" s="8">
        <v>21.06</v>
      </c>
      <c r="G511">
        <v>25</v>
      </c>
      <c r="H511">
        <f t="shared" si="40"/>
        <v>13</v>
      </c>
      <c r="I511" s="9">
        <f t="shared" si="41"/>
        <v>19290.96</v>
      </c>
      <c r="J511" s="11">
        <f t="shared" si="42"/>
        <v>2.7292576419213975E-2</v>
      </c>
      <c r="K511" t="str">
        <f t="shared" si="43"/>
        <v>April</v>
      </c>
      <c r="L511" t="str">
        <f t="shared" si="44"/>
        <v>2023</v>
      </c>
    </row>
    <row r="512" spans="1:12" x14ac:dyDescent="0.3">
      <c r="A512" t="s">
        <v>47</v>
      </c>
      <c r="B512" s="1">
        <v>45236</v>
      </c>
      <c r="C512" s="1">
        <v>45245</v>
      </c>
      <c r="D512" t="s">
        <v>13</v>
      </c>
      <c r="E512">
        <v>985</v>
      </c>
      <c r="F512" s="8">
        <v>83.85</v>
      </c>
      <c r="G512">
        <v>0</v>
      </c>
      <c r="H512">
        <f t="shared" si="40"/>
        <v>9</v>
      </c>
      <c r="I512" s="9">
        <f t="shared" si="41"/>
        <v>82592.25</v>
      </c>
      <c r="J512" s="11">
        <f t="shared" si="42"/>
        <v>0</v>
      </c>
      <c r="K512" t="str">
        <f t="shared" si="43"/>
        <v>November</v>
      </c>
      <c r="L512" t="str">
        <f t="shared" si="44"/>
        <v>2023</v>
      </c>
    </row>
    <row r="513" spans="1:12" x14ac:dyDescent="0.3">
      <c r="A513" t="s">
        <v>50</v>
      </c>
      <c r="B513" s="1">
        <v>44648</v>
      </c>
      <c r="C513" s="1">
        <v>44655</v>
      </c>
      <c r="D513" t="s">
        <v>12</v>
      </c>
      <c r="E513">
        <v>1893</v>
      </c>
      <c r="F513" s="8">
        <v>55.14</v>
      </c>
      <c r="G513">
        <v>98</v>
      </c>
      <c r="H513">
        <f t="shared" si="40"/>
        <v>7</v>
      </c>
      <c r="I513" s="9">
        <f t="shared" si="41"/>
        <v>104380.02</v>
      </c>
      <c r="J513" s="11">
        <f t="shared" si="42"/>
        <v>5.1769677760169046E-2</v>
      </c>
      <c r="K513" t="str">
        <f t="shared" si="43"/>
        <v>March</v>
      </c>
      <c r="L513" t="str">
        <f t="shared" si="44"/>
        <v>2022</v>
      </c>
    </row>
    <row r="514" spans="1:12" x14ac:dyDescent="0.3">
      <c r="A514" t="s">
        <v>48</v>
      </c>
      <c r="B514" s="1">
        <v>45089</v>
      </c>
      <c r="C514" s="1">
        <v>45105</v>
      </c>
      <c r="D514" t="s">
        <v>10</v>
      </c>
      <c r="E514">
        <v>318</v>
      </c>
      <c r="F514" s="8">
        <v>53.31</v>
      </c>
      <c r="G514">
        <v>0</v>
      </c>
      <c r="H514">
        <f t="shared" si="40"/>
        <v>16</v>
      </c>
      <c r="I514" s="9">
        <f t="shared" si="41"/>
        <v>16952.580000000002</v>
      </c>
      <c r="J514" s="11">
        <f t="shared" si="42"/>
        <v>0</v>
      </c>
      <c r="K514" t="str">
        <f t="shared" si="43"/>
        <v>June</v>
      </c>
      <c r="L514" t="str">
        <f t="shared" si="44"/>
        <v>2023</v>
      </c>
    </row>
    <row r="515" spans="1:12" x14ac:dyDescent="0.3">
      <c r="A515" t="s">
        <v>46</v>
      </c>
      <c r="B515" s="1">
        <v>45241</v>
      </c>
      <c r="C515" s="1">
        <v>45246</v>
      </c>
      <c r="D515" t="s">
        <v>9</v>
      </c>
      <c r="E515">
        <v>419</v>
      </c>
      <c r="F515" s="8">
        <v>35.72</v>
      </c>
      <c r="G515">
        <v>7</v>
      </c>
      <c r="H515">
        <f t="shared" si="40"/>
        <v>5</v>
      </c>
      <c r="I515" s="9">
        <f t="shared" si="41"/>
        <v>14966.68</v>
      </c>
      <c r="J515" s="11">
        <f t="shared" si="42"/>
        <v>1.6706443914081145E-2</v>
      </c>
      <c r="K515" t="str">
        <f t="shared" si="43"/>
        <v>November</v>
      </c>
      <c r="L515" t="str">
        <f t="shared" si="44"/>
        <v>2023</v>
      </c>
    </row>
    <row r="516" spans="1:12" x14ac:dyDescent="0.3">
      <c r="A516" t="s">
        <v>50</v>
      </c>
      <c r="B516" s="1">
        <v>45210</v>
      </c>
      <c r="C516" s="1">
        <v>45225</v>
      </c>
      <c r="D516" t="s">
        <v>10</v>
      </c>
      <c r="E516">
        <v>685</v>
      </c>
      <c r="F516" s="8">
        <v>92.51</v>
      </c>
      <c r="G516">
        <v>38</v>
      </c>
      <c r="H516">
        <f t="shared" ref="H516:H579" si="45" xml:space="preserve"> C516-B516</f>
        <v>15</v>
      </c>
      <c r="I516" s="9">
        <f t="shared" ref="I516:I579" si="46">F516*E516</f>
        <v>63369.350000000006</v>
      </c>
      <c r="J516" s="11">
        <f t="shared" ref="J516:J579" si="47">(G516/E516)</f>
        <v>5.5474452554744529E-2</v>
      </c>
      <c r="K516" t="str">
        <f t="shared" ref="K516:K579" si="48">TEXT(B516,"mmmm")</f>
        <v>October</v>
      </c>
      <c r="L516" t="str">
        <f t="shared" ref="L516:L579" si="49">TEXT(B516,"yyyy")</f>
        <v>2023</v>
      </c>
    </row>
    <row r="517" spans="1:12" x14ac:dyDescent="0.3">
      <c r="A517" t="s">
        <v>48</v>
      </c>
      <c r="B517" s="1">
        <v>45196</v>
      </c>
      <c r="C517" s="1">
        <v>45211</v>
      </c>
      <c r="D517" t="s">
        <v>9</v>
      </c>
      <c r="E517">
        <v>1179</v>
      </c>
      <c r="F517" s="8">
        <v>90.14</v>
      </c>
      <c r="G517">
        <v>194</v>
      </c>
      <c r="H517">
        <f t="shared" si="45"/>
        <v>15</v>
      </c>
      <c r="I517" s="9">
        <f t="shared" si="46"/>
        <v>106275.06</v>
      </c>
      <c r="J517" s="11">
        <f t="shared" si="47"/>
        <v>0.1645462256149279</v>
      </c>
      <c r="K517" t="str">
        <f t="shared" si="48"/>
        <v>September</v>
      </c>
      <c r="L517" t="str">
        <f t="shared" si="49"/>
        <v>2023</v>
      </c>
    </row>
    <row r="518" spans="1:12" x14ac:dyDescent="0.3">
      <c r="A518" t="s">
        <v>46</v>
      </c>
      <c r="B518" s="1">
        <v>44657</v>
      </c>
      <c r="C518" s="1">
        <v>44668</v>
      </c>
      <c r="D518" t="s">
        <v>10</v>
      </c>
      <c r="E518">
        <v>1732</v>
      </c>
      <c r="F518" s="8">
        <v>35.01</v>
      </c>
      <c r="G518">
        <v>40</v>
      </c>
      <c r="H518">
        <f t="shared" si="45"/>
        <v>11</v>
      </c>
      <c r="I518" s="9">
        <f t="shared" si="46"/>
        <v>60637.32</v>
      </c>
      <c r="J518" s="11">
        <f t="shared" si="47"/>
        <v>2.3094688221709007E-2</v>
      </c>
      <c r="K518" t="str">
        <f t="shared" si="48"/>
        <v>April</v>
      </c>
      <c r="L518" t="str">
        <f t="shared" si="49"/>
        <v>2022</v>
      </c>
    </row>
    <row r="519" spans="1:12" x14ac:dyDescent="0.3">
      <c r="A519" t="s">
        <v>47</v>
      </c>
      <c r="B519" s="1">
        <v>44802</v>
      </c>
      <c r="C519" s="1">
        <v>44805</v>
      </c>
      <c r="D519" t="s">
        <v>9</v>
      </c>
      <c r="E519">
        <v>706</v>
      </c>
      <c r="F519" s="8">
        <v>65.33</v>
      </c>
      <c r="G519">
        <v>60</v>
      </c>
      <c r="H519">
        <f t="shared" si="45"/>
        <v>3</v>
      </c>
      <c r="I519" s="9">
        <f t="shared" si="46"/>
        <v>46122.979999999996</v>
      </c>
      <c r="J519" s="11">
        <f t="shared" si="47"/>
        <v>8.4985835694050993E-2</v>
      </c>
      <c r="K519" t="str">
        <f t="shared" si="48"/>
        <v>August</v>
      </c>
      <c r="L519" t="str">
        <f t="shared" si="49"/>
        <v>2022</v>
      </c>
    </row>
    <row r="520" spans="1:12" x14ac:dyDescent="0.3">
      <c r="A520" t="s">
        <v>50</v>
      </c>
      <c r="B520" s="1">
        <v>45250</v>
      </c>
      <c r="C520" s="1">
        <v>45260</v>
      </c>
      <c r="D520" t="s">
        <v>10</v>
      </c>
      <c r="E520">
        <v>169</v>
      </c>
      <c r="F520" s="8">
        <v>47.16</v>
      </c>
      <c r="G520">
        <v>0</v>
      </c>
      <c r="H520">
        <f t="shared" si="45"/>
        <v>10</v>
      </c>
      <c r="I520" s="9">
        <f t="shared" si="46"/>
        <v>7970.0399999999991</v>
      </c>
      <c r="J520" s="11">
        <f t="shared" si="47"/>
        <v>0</v>
      </c>
      <c r="K520" t="str">
        <f t="shared" si="48"/>
        <v>November</v>
      </c>
      <c r="L520" t="str">
        <f t="shared" si="49"/>
        <v>2023</v>
      </c>
    </row>
    <row r="521" spans="1:12" x14ac:dyDescent="0.3">
      <c r="A521" t="s">
        <v>50</v>
      </c>
      <c r="B521" s="1">
        <v>44879</v>
      </c>
      <c r="C521" s="1">
        <v>44885</v>
      </c>
      <c r="D521" t="s">
        <v>9</v>
      </c>
      <c r="E521">
        <v>880</v>
      </c>
      <c r="F521" s="8">
        <v>19.149999999999999</v>
      </c>
      <c r="G521">
        <v>0</v>
      </c>
      <c r="H521">
        <f t="shared" si="45"/>
        <v>6</v>
      </c>
      <c r="I521" s="9">
        <f t="shared" si="46"/>
        <v>16852</v>
      </c>
      <c r="J521" s="11">
        <f t="shared" si="47"/>
        <v>0</v>
      </c>
      <c r="K521" t="str">
        <f t="shared" si="48"/>
        <v>November</v>
      </c>
      <c r="L521" t="str">
        <f t="shared" si="49"/>
        <v>2022</v>
      </c>
    </row>
    <row r="522" spans="1:12" x14ac:dyDescent="0.3">
      <c r="A522" t="s">
        <v>50</v>
      </c>
      <c r="B522" s="1">
        <v>44792</v>
      </c>
      <c r="C522" s="1">
        <v>44798</v>
      </c>
      <c r="D522" t="s">
        <v>10</v>
      </c>
      <c r="E522">
        <v>1860</v>
      </c>
      <c r="F522" s="8">
        <v>95.8</v>
      </c>
      <c r="G522">
        <v>105</v>
      </c>
      <c r="H522">
        <f t="shared" si="45"/>
        <v>6</v>
      </c>
      <c r="I522" s="9">
        <f t="shared" si="46"/>
        <v>178188</v>
      </c>
      <c r="J522" s="11">
        <f t="shared" si="47"/>
        <v>5.6451612903225805E-2</v>
      </c>
      <c r="K522" t="str">
        <f t="shared" si="48"/>
        <v>August</v>
      </c>
      <c r="L522" t="str">
        <f t="shared" si="49"/>
        <v>2022</v>
      </c>
    </row>
    <row r="523" spans="1:12" x14ac:dyDescent="0.3">
      <c r="A523" t="s">
        <v>48</v>
      </c>
      <c r="B523" s="1">
        <v>44765</v>
      </c>
      <c r="C523" s="1">
        <v>44782</v>
      </c>
      <c r="D523" t="s">
        <v>10</v>
      </c>
      <c r="E523">
        <v>1677</v>
      </c>
      <c r="F523" s="8">
        <v>22.98</v>
      </c>
      <c r="G523">
        <v>246</v>
      </c>
      <c r="H523">
        <f t="shared" si="45"/>
        <v>17</v>
      </c>
      <c r="I523" s="9">
        <f t="shared" si="46"/>
        <v>38537.46</v>
      </c>
      <c r="J523" s="11">
        <f t="shared" si="47"/>
        <v>0.14669051878354203</v>
      </c>
      <c r="K523" t="str">
        <f t="shared" si="48"/>
        <v>July</v>
      </c>
      <c r="L523" t="str">
        <f t="shared" si="49"/>
        <v>2022</v>
      </c>
    </row>
    <row r="524" spans="1:12" x14ac:dyDescent="0.3">
      <c r="A524" t="s">
        <v>47</v>
      </c>
      <c r="B524" s="1">
        <v>44712</v>
      </c>
      <c r="C524" s="1">
        <v>44719</v>
      </c>
      <c r="D524" t="s">
        <v>11</v>
      </c>
      <c r="E524">
        <v>1131</v>
      </c>
      <c r="F524" s="8">
        <v>97.43</v>
      </c>
      <c r="G524">
        <v>103</v>
      </c>
      <c r="H524">
        <f t="shared" si="45"/>
        <v>7</v>
      </c>
      <c r="I524" s="9">
        <f t="shared" si="46"/>
        <v>110193.33</v>
      </c>
      <c r="J524" s="11">
        <f t="shared" si="47"/>
        <v>9.1069849690539342E-2</v>
      </c>
      <c r="K524" t="str">
        <f t="shared" si="48"/>
        <v>May</v>
      </c>
      <c r="L524" t="str">
        <f t="shared" si="49"/>
        <v>2022</v>
      </c>
    </row>
    <row r="525" spans="1:12" x14ac:dyDescent="0.3">
      <c r="A525" t="s">
        <v>49</v>
      </c>
      <c r="B525" s="1">
        <v>44568</v>
      </c>
      <c r="C525" s="1">
        <v>44587</v>
      </c>
      <c r="D525" t="s">
        <v>10</v>
      </c>
      <c r="E525">
        <v>739</v>
      </c>
      <c r="F525" s="8">
        <v>68.47</v>
      </c>
      <c r="G525">
        <v>19</v>
      </c>
      <c r="H525">
        <f t="shared" si="45"/>
        <v>19</v>
      </c>
      <c r="I525" s="9">
        <f t="shared" si="46"/>
        <v>50599.33</v>
      </c>
      <c r="J525" s="11">
        <f t="shared" si="47"/>
        <v>2.571041948579161E-2</v>
      </c>
      <c r="K525" t="str">
        <f t="shared" si="48"/>
        <v>January</v>
      </c>
      <c r="L525" t="str">
        <f t="shared" si="49"/>
        <v>2022</v>
      </c>
    </row>
    <row r="526" spans="1:12" x14ac:dyDescent="0.3">
      <c r="A526" t="s">
        <v>48</v>
      </c>
      <c r="B526" s="1">
        <v>44609</v>
      </c>
      <c r="C526" s="1">
        <v>44610</v>
      </c>
      <c r="D526" t="s">
        <v>12</v>
      </c>
      <c r="E526">
        <v>790</v>
      </c>
      <c r="F526" s="8">
        <v>26.8</v>
      </c>
      <c r="G526">
        <v>115</v>
      </c>
      <c r="H526">
        <f t="shared" si="45"/>
        <v>1</v>
      </c>
      <c r="I526" s="9">
        <f t="shared" si="46"/>
        <v>21172</v>
      </c>
      <c r="J526" s="11">
        <f t="shared" si="47"/>
        <v>0.14556962025316456</v>
      </c>
      <c r="K526" t="str">
        <f t="shared" si="48"/>
        <v>February</v>
      </c>
      <c r="L526" t="str">
        <f t="shared" si="49"/>
        <v>2022</v>
      </c>
    </row>
    <row r="527" spans="1:12" x14ac:dyDescent="0.3">
      <c r="A527" t="s">
        <v>50</v>
      </c>
      <c r="B527" s="1">
        <v>44812</v>
      </c>
      <c r="C527" s="1">
        <v>44831</v>
      </c>
      <c r="D527" t="s">
        <v>10</v>
      </c>
      <c r="E527">
        <v>1547</v>
      </c>
      <c r="F527" s="8">
        <v>61.12</v>
      </c>
      <c r="G527">
        <v>77</v>
      </c>
      <c r="H527">
        <f t="shared" si="45"/>
        <v>19</v>
      </c>
      <c r="I527" s="9">
        <f t="shared" si="46"/>
        <v>94552.639999999999</v>
      </c>
      <c r="J527" s="11">
        <f t="shared" si="47"/>
        <v>4.9773755656108594E-2</v>
      </c>
      <c r="K527" t="str">
        <f t="shared" si="48"/>
        <v>September</v>
      </c>
      <c r="L527" t="str">
        <f t="shared" si="49"/>
        <v>2022</v>
      </c>
    </row>
    <row r="528" spans="1:12" x14ac:dyDescent="0.3">
      <c r="A528" t="s">
        <v>48</v>
      </c>
      <c r="B528" s="1">
        <v>45048</v>
      </c>
      <c r="C528" s="1">
        <v>45066</v>
      </c>
      <c r="D528" t="s">
        <v>9</v>
      </c>
      <c r="E528">
        <v>166</v>
      </c>
      <c r="F528" s="8">
        <v>95.65</v>
      </c>
      <c r="G528">
        <v>23</v>
      </c>
      <c r="H528">
        <f t="shared" si="45"/>
        <v>18</v>
      </c>
      <c r="I528" s="9">
        <f t="shared" si="46"/>
        <v>15877.900000000001</v>
      </c>
      <c r="J528" s="11">
        <f t="shared" si="47"/>
        <v>0.13855421686746988</v>
      </c>
      <c r="K528" t="str">
        <f t="shared" si="48"/>
        <v>May</v>
      </c>
      <c r="L528" t="str">
        <f t="shared" si="49"/>
        <v>2023</v>
      </c>
    </row>
    <row r="529" spans="1:12" x14ac:dyDescent="0.3">
      <c r="A529" t="s">
        <v>46</v>
      </c>
      <c r="B529" s="1">
        <v>45187</v>
      </c>
      <c r="C529" s="1">
        <v>45190</v>
      </c>
      <c r="D529" t="s">
        <v>13</v>
      </c>
      <c r="E529">
        <v>1903</v>
      </c>
      <c r="F529" s="8">
        <v>83.49</v>
      </c>
      <c r="G529">
        <v>43</v>
      </c>
      <c r="H529">
        <f t="shared" si="45"/>
        <v>3</v>
      </c>
      <c r="I529" s="9">
        <f t="shared" si="46"/>
        <v>158881.47</v>
      </c>
      <c r="J529" s="11">
        <f t="shared" si="47"/>
        <v>2.2595901208617972E-2</v>
      </c>
      <c r="K529" t="str">
        <f t="shared" si="48"/>
        <v>September</v>
      </c>
      <c r="L529" t="str">
        <f t="shared" si="49"/>
        <v>2023</v>
      </c>
    </row>
    <row r="530" spans="1:12" x14ac:dyDescent="0.3">
      <c r="A530" t="s">
        <v>48</v>
      </c>
      <c r="B530" s="1">
        <v>44636</v>
      </c>
      <c r="C530" s="1">
        <v>44649</v>
      </c>
      <c r="D530" t="s">
        <v>9</v>
      </c>
      <c r="E530">
        <v>840</v>
      </c>
      <c r="F530" s="8">
        <v>83.42</v>
      </c>
      <c r="G530">
        <v>153</v>
      </c>
      <c r="H530">
        <f t="shared" si="45"/>
        <v>13</v>
      </c>
      <c r="I530" s="9">
        <f t="shared" si="46"/>
        <v>70072.800000000003</v>
      </c>
      <c r="J530" s="11">
        <f t="shared" si="47"/>
        <v>0.18214285714285713</v>
      </c>
      <c r="K530" t="str">
        <f t="shared" si="48"/>
        <v>March</v>
      </c>
      <c r="L530" t="str">
        <f t="shared" si="49"/>
        <v>2022</v>
      </c>
    </row>
    <row r="531" spans="1:12" x14ac:dyDescent="0.3">
      <c r="A531" t="s">
        <v>50</v>
      </c>
      <c r="B531" s="1">
        <v>44986</v>
      </c>
      <c r="C531" s="1">
        <v>45003</v>
      </c>
      <c r="D531" t="s">
        <v>12</v>
      </c>
      <c r="E531">
        <v>1466</v>
      </c>
      <c r="F531" s="8">
        <v>77.37</v>
      </c>
      <c r="G531">
        <v>72</v>
      </c>
      <c r="H531">
        <f t="shared" si="45"/>
        <v>17</v>
      </c>
      <c r="I531" s="9">
        <f t="shared" si="46"/>
        <v>113424.42000000001</v>
      </c>
      <c r="J531" s="11">
        <f t="shared" si="47"/>
        <v>4.9113233287858118E-2</v>
      </c>
      <c r="K531" t="str">
        <f t="shared" si="48"/>
        <v>March</v>
      </c>
      <c r="L531" t="str">
        <f t="shared" si="49"/>
        <v>2023</v>
      </c>
    </row>
    <row r="532" spans="1:12" x14ac:dyDescent="0.3">
      <c r="A532" t="s">
        <v>46</v>
      </c>
      <c r="B532" s="1">
        <v>45206</v>
      </c>
      <c r="C532" s="1">
        <v>45220</v>
      </c>
      <c r="D532" t="s">
        <v>9</v>
      </c>
      <c r="E532">
        <v>1981</v>
      </c>
      <c r="F532" s="8">
        <v>95.5</v>
      </c>
      <c r="G532">
        <v>49</v>
      </c>
      <c r="H532">
        <f t="shared" si="45"/>
        <v>14</v>
      </c>
      <c r="I532" s="9">
        <f t="shared" si="46"/>
        <v>189185.5</v>
      </c>
      <c r="J532" s="11">
        <f t="shared" si="47"/>
        <v>2.4734982332155476E-2</v>
      </c>
      <c r="K532" t="str">
        <f t="shared" si="48"/>
        <v>October</v>
      </c>
      <c r="L532" t="str">
        <f t="shared" si="49"/>
        <v>2023</v>
      </c>
    </row>
    <row r="533" spans="1:12" x14ac:dyDescent="0.3">
      <c r="A533" t="s">
        <v>50</v>
      </c>
      <c r="B533" s="1">
        <v>45151</v>
      </c>
      <c r="C533" s="1">
        <v>45154</v>
      </c>
      <c r="D533" t="s">
        <v>11</v>
      </c>
      <c r="E533">
        <v>1062</v>
      </c>
      <c r="F533" s="8">
        <v>35.549999999999997</v>
      </c>
      <c r="G533">
        <v>0</v>
      </c>
      <c r="H533">
        <f t="shared" si="45"/>
        <v>3</v>
      </c>
      <c r="I533" s="9">
        <f t="shared" si="46"/>
        <v>37754.1</v>
      </c>
      <c r="J533" s="11">
        <f t="shared" si="47"/>
        <v>0</v>
      </c>
      <c r="K533" t="str">
        <f t="shared" si="48"/>
        <v>August</v>
      </c>
      <c r="L533" t="str">
        <f t="shared" si="49"/>
        <v>2023</v>
      </c>
    </row>
    <row r="534" spans="1:12" x14ac:dyDescent="0.3">
      <c r="A534" t="s">
        <v>46</v>
      </c>
      <c r="B534" s="1">
        <v>44761</v>
      </c>
      <c r="C534" s="1">
        <v>44772</v>
      </c>
      <c r="D534" t="s">
        <v>10</v>
      </c>
      <c r="E534">
        <v>1714</v>
      </c>
      <c r="F534" s="8">
        <v>55.67</v>
      </c>
      <c r="G534">
        <v>42</v>
      </c>
      <c r="H534">
        <f t="shared" si="45"/>
        <v>11</v>
      </c>
      <c r="I534" s="9">
        <f t="shared" si="46"/>
        <v>95418.38</v>
      </c>
      <c r="J534" s="11">
        <f t="shared" si="47"/>
        <v>2.4504084014002333E-2</v>
      </c>
      <c r="K534" t="str">
        <f t="shared" si="48"/>
        <v>July</v>
      </c>
      <c r="L534" t="str">
        <f t="shared" si="49"/>
        <v>2022</v>
      </c>
    </row>
    <row r="535" spans="1:12" x14ac:dyDescent="0.3">
      <c r="A535" t="s">
        <v>46</v>
      </c>
      <c r="B535" s="1">
        <v>45275</v>
      </c>
      <c r="C535" s="1">
        <v>45290</v>
      </c>
      <c r="D535" t="s">
        <v>9</v>
      </c>
      <c r="E535">
        <v>1131</v>
      </c>
      <c r="F535" s="8">
        <v>33.35</v>
      </c>
      <c r="G535">
        <v>23</v>
      </c>
      <c r="H535">
        <f t="shared" si="45"/>
        <v>15</v>
      </c>
      <c r="I535" s="9">
        <f t="shared" si="46"/>
        <v>37718.85</v>
      </c>
      <c r="J535" s="11">
        <f t="shared" si="47"/>
        <v>2.0335985853227233E-2</v>
      </c>
      <c r="K535" t="str">
        <f t="shared" si="48"/>
        <v>December</v>
      </c>
      <c r="L535" t="str">
        <f t="shared" si="49"/>
        <v>2023</v>
      </c>
    </row>
    <row r="536" spans="1:12" x14ac:dyDescent="0.3">
      <c r="A536" t="s">
        <v>49</v>
      </c>
      <c r="B536" s="1">
        <v>44950</v>
      </c>
      <c r="C536" s="1">
        <v>44955</v>
      </c>
      <c r="D536" t="s">
        <v>10</v>
      </c>
      <c r="E536">
        <v>1269</v>
      </c>
      <c r="F536" s="8">
        <v>79.61</v>
      </c>
      <c r="G536">
        <v>47</v>
      </c>
      <c r="H536">
        <f t="shared" si="45"/>
        <v>5</v>
      </c>
      <c r="I536" s="9">
        <f t="shared" si="46"/>
        <v>101025.09</v>
      </c>
      <c r="J536" s="11">
        <f t="shared" si="47"/>
        <v>3.7037037037037035E-2</v>
      </c>
      <c r="K536" t="str">
        <f t="shared" si="48"/>
        <v>January</v>
      </c>
      <c r="L536" t="str">
        <f t="shared" si="49"/>
        <v>2023</v>
      </c>
    </row>
    <row r="537" spans="1:12" x14ac:dyDescent="0.3">
      <c r="A537" t="s">
        <v>50</v>
      </c>
      <c r="B537" s="1">
        <v>45068</v>
      </c>
      <c r="C537" s="1">
        <v>45086</v>
      </c>
      <c r="D537" t="s">
        <v>11</v>
      </c>
      <c r="E537">
        <v>562</v>
      </c>
      <c r="F537" s="8">
        <v>102.56</v>
      </c>
      <c r="G537">
        <v>38</v>
      </c>
      <c r="H537">
        <f t="shared" si="45"/>
        <v>18</v>
      </c>
      <c r="I537" s="9">
        <f t="shared" si="46"/>
        <v>57638.720000000001</v>
      </c>
      <c r="J537" s="11">
        <f t="shared" si="47"/>
        <v>6.7615658362989328E-2</v>
      </c>
      <c r="K537" t="str">
        <f t="shared" si="48"/>
        <v>May</v>
      </c>
      <c r="L537" t="str">
        <f t="shared" si="49"/>
        <v>2023</v>
      </c>
    </row>
    <row r="538" spans="1:12" x14ac:dyDescent="0.3">
      <c r="A538" t="s">
        <v>46</v>
      </c>
      <c r="B538" s="1">
        <v>44971</v>
      </c>
      <c r="C538" s="1">
        <v>44977</v>
      </c>
      <c r="D538" t="s">
        <v>13</v>
      </c>
      <c r="E538">
        <v>1824</v>
      </c>
      <c r="F538" s="8">
        <v>14.43</v>
      </c>
      <c r="G538">
        <v>36</v>
      </c>
      <c r="H538">
        <f t="shared" si="45"/>
        <v>6</v>
      </c>
      <c r="I538" s="9">
        <f t="shared" si="46"/>
        <v>26320.32</v>
      </c>
      <c r="J538" s="11">
        <f t="shared" si="47"/>
        <v>1.9736842105263157E-2</v>
      </c>
      <c r="K538" t="str">
        <f t="shared" si="48"/>
        <v>February</v>
      </c>
      <c r="L538" t="str">
        <f t="shared" si="49"/>
        <v>2023</v>
      </c>
    </row>
    <row r="539" spans="1:12" x14ac:dyDescent="0.3">
      <c r="A539" t="s">
        <v>47</v>
      </c>
      <c r="B539" s="1">
        <v>44811</v>
      </c>
      <c r="C539" s="1">
        <v>44816</v>
      </c>
      <c r="D539" t="s">
        <v>13</v>
      </c>
      <c r="E539">
        <v>851</v>
      </c>
      <c r="F539" s="8">
        <v>76.44</v>
      </c>
      <c r="G539">
        <v>91</v>
      </c>
      <c r="H539">
        <f t="shared" si="45"/>
        <v>5</v>
      </c>
      <c r="I539" s="9">
        <f t="shared" si="46"/>
        <v>65050.439999999995</v>
      </c>
      <c r="J539" s="11">
        <f t="shared" si="47"/>
        <v>0.10693301997649823</v>
      </c>
      <c r="K539" t="str">
        <f t="shared" si="48"/>
        <v>September</v>
      </c>
      <c r="L539" t="str">
        <f t="shared" si="49"/>
        <v>2022</v>
      </c>
    </row>
    <row r="540" spans="1:12" x14ac:dyDescent="0.3">
      <c r="A540" t="s">
        <v>47</v>
      </c>
      <c r="B540" s="1">
        <v>44713</v>
      </c>
      <c r="C540" s="1">
        <v>44715</v>
      </c>
      <c r="D540" t="s">
        <v>9</v>
      </c>
      <c r="E540">
        <v>1169</v>
      </c>
      <c r="F540" s="8">
        <v>95.6</v>
      </c>
      <c r="G540">
        <v>103</v>
      </c>
      <c r="H540">
        <f t="shared" si="45"/>
        <v>2</v>
      </c>
      <c r="I540" s="9">
        <f t="shared" si="46"/>
        <v>111756.4</v>
      </c>
      <c r="J540" s="11">
        <f t="shared" si="47"/>
        <v>8.8109495295124032E-2</v>
      </c>
      <c r="K540" t="str">
        <f t="shared" si="48"/>
        <v>June</v>
      </c>
      <c r="L540" t="str">
        <f t="shared" si="49"/>
        <v>2022</v>
      </c>
    </row>
    <row r="541" spans="1:12" x14ac:dyDescent="0.3">
      <c r="A541" t="s">
        <v>49</v>
      </c>
      <c r="B541" s="1">
        <v>45233</v>
      </c>
      <c r="C541" s="1">
        <v>45250</v>
      </c>
      <c r="D541" t="s">
        <v>10</v>
      </c>
      <c r="E541">
        <v>1711</v>
      </c>
      <c r="F541" s="8">
        <v>29.14</v>
      </c>
      <c r="G541">
        <v>48</v>
      </c>
      <c r="H541">
        <f t="shared" si="45"/>
        <v>17</v>
      </c>
      <c r="I541" s="9">
        <f t="shared" si="46"/>
        <v>49858.54</v>
      </c>
      <c r="J541" s="11">
        <f t="shared" si="47"/>
        <v>2.8053769725306838E-2</v>
      </c>
      <c r="K541" t="str">
        <f t="shared" si="48"/>
        <v>November</v>
      </c>
      <c r="L541" t="str">
        <f t="shared" si="49"/>
        <v>2023</v>
      </c>
    </row>
    <row r="542" spans="1:12" x14ac:dyDescent="0.3">
      <c r="A542" t="s">
        <v>47</v>
      </c>
      <c r="B542" s="1">
        <v>45266</v>
      </c>
      <c r="C542" s="1">
        <v>45272</v>
      </c>
      <c r="D542" t="s">
        <v>11</v>
      </c>
      <c r="E542">
        <v>1191</v>
      </c>
      <c r="F542" s="8">
        <v>68.14</v>
      </c>
      <c r="G542">
        <v>112</v>
      </c>
      <c r="H542">
        <f t="shared" si="45"/>
        <v>6</v>
      </c>
      <c r="I542" s="9">
        <f t="shared" si="46"/>
        <v>81154.740000000005</v>
      </c>
      <c r="J542" s="11">
        <f t="shared" si="47"/>
        <v>9.4038623005877411E-2</v>
      </c>
      <c r="K542" t="str">
        <f t="shared" si="48"/>
        <v>December</v>
      </c>
      <c r="L542" t="str">
        <f t="shared" si="49"/>
        <v>2023</v>
      </c>
    </row>
    <row r="543" spans="1:12" x14ac:dyDescent="0.3">
      <c r="A543" t="s">
        <v>49</v>
      </c>
      <c r="B543" s="1">
        <v>44950</v>
      </c>
      <c r="C543" s="1">
        <v>44968</v>
      </c>
      <c r="D543" t="s">
        <v>9</v>
      </c>
      <c r="E543">
        <v>462</v>
      </c>
      <c r="F543" s="8">
        <v>91.81</v>
      </c>
      <c r="G543">
        <v>11</v>
      </c>
      <c r="H543">
        <f t="shared" si="45"/>
        <v>18</v>
      </c>
      <c r="I543" s="9">
        <f t="shared" si="46"/>
        <v>42416.22</v>
      </c>
      <c r="J543" s="11">
        <f t="shared" si="47"/>
        <v>2.3809523809523808E-2</v>
      </c>
      <c r="K543" t="str">
        <f t="shared" si="48"/>
        <v>January</v>
      </c>
      <c r="L543" t="str">
        <f t="shared" si="49"/>
        <v>2023</v>
      </c>
    </row>
    <row r="544" spans="1:12" x14ac:dyDescent="0.3">
      <c r="A544" t="s">
        <v>47</v>
      </c>
      <c r="B544" s="1">
        <v>44671</v>
      </c>
      <c r="C544" s="1">
        <v>44688</v>
      </c>
      <c r="D544" t="s">
        <v>9</v>
      </c>
      <c r="E544">
        <v>1674</v>
      </c>
      <c r="F544" s="8">
        <v>13.25</v>
      </c>
      <c r="G544">
        <v>181</v>
      </c>
      <c r="H544">
        <f t="shared" si="45"/>
        <v>17</v>
      </c>
      <c r="I544" s="9">
        <f t="shared" si="46"/>
        <v>22180.5</v>
      </c>
      <c r="J544" s="11">
        <f t="shared" si="47"/>
        <v>0.10812425328554361</v>
      </c>
      <c r="K544" t="str">
        <f t="shared" si="48"/>
        <v>April</v>
      </c>
      <c r="L544" t="str">
        <f t="shared" si="49"/>
        <v>2022</v>
      </c>
    </row>
    <row r="545" spans="1:12" x14ac:dyDescent="0.3">
      <c r="A545" t="s">
        <v>50</v>
      </c>
      <c r="B545" s="1">
        <v>44997</v>
      </c>
      <c r="C545" s="1">
        <v>45000</v>
      </c>
      <c r="D545" t="s">
        <v>10</v>
      </c>
      <c r="E545">
        <v>537</v>
      </c>
      <c r="F545" s="8">
        <v>77.86</v>
      </c>
      <c r="G545">
        <v>20</v>
      </c>
      <c r="H545">
        <f t="shared" si="45"/>
        <v>3</v>
      </c>
      <c r="I545" s="9">
        <f t="shared" si="46"/>
        <v>41810.82</v>
      </c>
      <c r="J545" s="11">
        <f t="shared" si="47"/>
        <v>3.7243947858473E-2</v>
      </c>
      <c r="K545" t="str">
        <f t="shared" si="48"/>
        <v>March</v>
      </c>
      <c r="L545" t="str">
        <f t="shared" si="49"/>
        <v>2023</v>
      </c>
    </row>
    <row r="546" spans="1:12" x14ac:dyDescent="0.3">
      <c r="A546" t="s">
        <v>49</v>
      </c>
      <c r="B546" s="1">
        <v>44786</v>
      </c>
      <c r="C546" s="1">
        <v>44804</v>
      </c>
      <c r="D546" t="s">
        <v>13</v>
      </c>
      <c r="E546">
        <v>1310</v>
      </c>
      <c r="F546" s="8">
        <v>38.049999999999997</v>
      </c>
      <c r="G546">
        <v>45</v>
      </c>
      <c r="H546">
        <f t="shared" si="45"/>
        <v>18</v>
      </c>
      <c r="I546" s="9">
        <f t="shared" si="46"/>
        <v>49845.499999999993</v>
      </c>
      <c r="J546" s="11">
        <f t="shared" si="47"/>
        <v>3.4351145038167941E-2</v>
      </c>
      <c r="K546" t="str">
        <f t="shared" si="48"/>
        <v>August</v>
      </c>
      <c r="L546" t="str">
        <f t="shared" si="49"/>
        <v>2022</v>
      </c>
    </row>
    <row r="547" spans="1:12" x14ac:dyDescent="0.3">
      <c r="A547" t="s">
        <v>48</v>
      </c>
      <c r="B547" s="1">
        <v>44742</v>
      </c>
      <c r="C547" s="1">
        <v>44752</v>
      </c>
      <c r="D547" t="s">
        <v>12</v>
      </c>
      <c r="E547">
        <v>1958</v>
      </c>
      <c r="F547" s="8">
        <v>95.53</v>
      </c>
      <c r="G547">
        <v>308</v>
      </c>
      <c r="H547">
        <f t="shared" si="45"/>
        <v>10</v>
      </c>
      <c r="I547" s="9">
        <f t="shared" si="46"/>
        <v>187047.74</v>
      </c>
      <c r="J547" s="11">
        <f t="shared" si="47"/>
        <v>0.15730337078651685</v>
      </c>
      <c r="K547" t="str">
        <f t="shared" si="48"/>
        <v>June</v>
      </c>
      <c r="L547" t="str">
        <f t="shared" si="49"/>
        <v>2022</v>
      </c>
    </row>
    <row r="548" spans="1:12" x14ac:dyDescent="0.3">
      <c r="A548" t="s">
        <v>48</v>
      </c>
      <c r="B548" s="1">
        <v>45274</v>
      </c>
      <c r="C548" s="1">
        <v>45277</v>
      </c>
      <c r="D548" t="s">
        <v>9</v>
      </c>
      <c r="E548">
        <v>946</v>
      </c>
      <c r="F548" s="8">
        <v>108.6</v>
      </c>
      <c r="G548">
        <v>146</v>
      </c>
      <c r="H548">
        <f t="shared" si="45"/>
        <v>3</v>
      </c>
      <c r="I548" s="9">
        <f t="shared" si="46"/>
        <v>102735.59999999999</v>
      </c>
      <c r="J548" s="11">
        <f t="shared" si="47"/>
        <v>0.15433403805496829</v>
      </c>
      <c r="K548" t="str">
        <f t="shared" si="48"/>
        <v>December</v>
      </c>
      <c r="L548" t="str">
        <f t="shared" si="49"/>
        <v>2023</v>
      </c>
    </row>
    <row r="549" spans="1:12" x14ac:dyDescent="0.3">
      <c r="A549" t="s">
        <v>47</v>
      </c>
      <c r="B549" s="1">
        <v>45092</v>
      </c>
      <c r="C549" s="1">
        <v>45098</v>
      </c>
      <c r="D549" t="s">
        <v>11</v>
      </c>
      <c r="E549">
        <v>1345</v>
      </c>
      <c r="F549" s="8">
        <v>103.06</v>
      </c>
      <c r="G549">
        <v>0</v>
      </c>
      <c r="H549">
        <f t="shared" si="45"/>
        <v>6</v>
      </c>
      <c r="I549" s="9">
        <f t="shared" si="46"/>
        <v>138615.70000000001</v>
      </c>
      <c r="J549" s="11">
        <f t="shared" si="47"/>
        <v>0</v>
      </c>
      <c r="K549" t="str">
        <f t="shared" si="48"/>
        <v>June</v>
      </c>
      <c r="L549" t="str">
        <f t="shared" si="49"/>
        <v>2023</v>
      </c>
    </row>
    <row r="550" spans="1:12" x14ac:dyDescent="0.3">
      <c r="A550" t="s">
        <v>48</v>
      </c>
      <c r="B550" s="1">
        <v>45037</v>
      </c>
      <c r="C550" s="1">
        <v>45056</v>
      </c>
      <c r="D550" t="s">
        <v>10</v>
      </c>
      <c r="E550">
        <v>1262</v>
      </c>
      <c r="F550" s="8">
        <v>56.63</v>
      </c>
      <c r="G550">
        <v>0</v>
      </c>
      <c r="H550">
        <f t="shared" si="45"/>
        <v>19</v>
      </c>
      <c r="I550" s="9">
        <f t="shared" si="46"/>
        <v>71467.06</v>
      </c>
      <c r="J550" s="11">
        <f t="shared" si="47"/>
        <v>0</v>
      </c>
      <c r="K550" t="str">
        <f t="shared" si="48"/>
        <v>April</v>
      </c>
      <c r="L550" t="str">
        <f t="shared" si="49"/>
        <v>2023</v>
      </c>
    </row>
    <row r="551" spans="1:12" x14ac:dyDescent="0.3">
      <c r="A551" t="s">
        <v>47</v>
      </c>
      <c r="B551" s="1">
        <v>44613</v>
      </c>
      <c r="C551" s="1">
        <v>44633</v>
      </c>
      <c r="D551" t="s">
        <v>9</v>
      </c>
      <c r="E551">
        <v>753</v>
      </c>
      <c r="F551" s="8">
        <v>88.02</v>
      </c>
      <c r="G551">
        <v>75</v>
      </c>
      <c r="H551">
        <f t="shared" si="45"/>
        <v>20</v>
      </c>
      <c r="I551" s="9">
        <f t="shared" si="46"/>
        <v>66279.06</v>
      </c>
      <c r="J551" s="11">
        <f t="shared" si="47"/>
        <v>9.9601593625498003E-2</v>
      </c>
      <c r="K551" t="str">
        <f t="shared" si="48"/>
        <v>February</v>
      </c>
      <c r="L551" t="str">
        <f t="shared" si="49"/>
        <v>2022</v>
      </c>
    </row>
    <row r="552" spans="1:12" x14ac:dyDescent="0.3">
      <c r="A552" t="s">
        <v>47</v>
      </c>
      <c r="B552" s="1">
        <v>45132</v>
      </c>
      <c r="C552" s="1">
        <v>45152</v>
      </c>
      <c r="D552" t="s">
        <v>13</v>
      </c>
      <c r="E552">
        <v>1520</v>
      </c>
      <c r="F552" s="8">
        <v>93.75</v>
      </c>
      <c r="G552">
        <v>149</v>
      </c>
      <c r="H552">
        <f t="shared" si="45"/>
        <v>20</v>
      </c>
      <c r="I552" s="9">
        <f t="shared" si="46"/>
        <v>142500</v>
      </c>
      <c r="J552" s="11">
        <f t="shared" si="47"/>
        <v>9.8026315789473684E-2</v>
      </c>
      <c r="K552" t="str">
        <f t="shared" si="48"/>
        <v>July</v>
      </c>
      <c r="L552" t="str">
        <f t="shared" si="49"/>
        <v>2023</v>
      </c>
    </row>
    <row r="553" spans="1:12" x14ac:dyDescent="0.3">
      <c r="A553" t="s">
        <v>48</v>
      </c>
      <c r="B553" s="1">
        <v>44817</v>
      </c>
      <c r="C553" s="1">
        <v>44836</v>
      </c>
      <c r="D553" t="s">
        <v>9</v>
      </c>
      <c r="E553">
        <v>630</v>
      </c>
      <c r="F553" s="8">
        <v>40.270000000000003</v>
      </c>
      <c r="G553">
        <v>76</v>
      </c>
      <c r="H553">
        <f t="shared" si="45"/>
        <v>19</v>
      </c>
      <c r="I553" s="9">
        <f t="shared" si="46"/>
        <v>25370.100000000002</v>
      </c>
      <c r="J553" s="11">
        <f t="shared" si="47"/>
        <v>0.12063492063492064</v>
      </c>
      <c r="K553" t="str">
        <f t="shared" si="48"/>
        <v>September</v>
      </c>
      <c r="L553" t="str">
        <f t="shared" si="49"/>
        <v>2022</v>
      </c>
    </row>
    <row r="554" spans="1:12" x14ac:dyDescent="0.3">
      <c r="A554" t="s">
        <v>48</v>
      </c>
      <c r="B554" s="1">
        <v>44686</v>
      </c>
      <c r="C554" s="1">
        <v>44687</v>
      </c>
      <c r="D554" t="s">
        <v>9</v>
      </c>
      <c r="E554">
        <v>839</v>
      </c>
      <c r="F554" s="8">
        <v>86.29</v>
      </c>
      <c r="G554">
        <v>110</v>
      </c>
      <c r="H554">
        <f t="shared" si="45"/>
        <v>1</v>
      </c>
      <c r="I554" s="9">
        <f t="shared" si="46"/>
        <v>72397.310000000012</v>
      </c>
      <c r="J554" s="11">
        <f t="shared" si="47"/>
        <v>0.13110846245530394</v>
      </c>
      <c r="K554" t="str">
        <f t="shared" si="48"/>
        <v>May</v>
      </c>
      <c r="L554" t="str">
        <f t="shared" si="49"/>
        <v>2022</v>
      </c>
    </row>
    <row r="555" spans="1:12" x14ac:dyDescent="0.3">
      <c r="A555" t="s">
        <v>46</v>
      </c>
      <c r="B555" s="1">
        <v>45029</v>
      </c>
      <c r="C555" s="1">
        <v>45048</v>
      </c>
      <c r="D555" t="s">
        <v>13</v>
      </c>
      <c r="E555">
        <v>910</v>
      </c>
      <c r="F555" s="8">
        <v>14.33</v>
      </c>
      <c r="G555">
        <v>27</v>
      </c>
      <c r="H555">
        <f t="shared" si="45"/>
        <v>19</v>
      </c>
      <c r="I555" s="9">
        <f t="shared" si="46"/>
        <v>13040.3</v>
      </c>
      <c r="J555" s="11">
        <f t="shared" si="47"/>
        <v>2.9670329670329669E-2</v>
      </c>
      <c r="K555" t="str">
        <f t="shared" si="48"/>
        <v>April</v>
      </c>
      <c r="L555" t="str">
        <f t="shared" si="49"/>
        <v>2023</v>
      </c>
    </row>
    <row r="556" spans="1:12" x14ac:dyDescent="0.3">
      <c r="A556" t="s">
        <v>49</v>
      </c>
      <c r="B556" s="1">
        <v>44698</v>
      </c>
      <c r="C556" s="1">
        <v>44705</v>
      </c>
      <c r="D556" t="s">
        <v>12</v>
      </c>
      <c r="E556">
        <v>296</v>
      </c>
      <c r="F556" s="8">
        <v>64.94</v>
      </c>
      <c r="G556">
        <v>0</v>
      </c>
      <c r="H556">
        <f t="shared" si="45"/>
        <v>7</v>
      </c>
      <c r="I556" s="9">
        <f t="shared" si="46"/>
        <v>19222.239999999998</v>
      </c>
      <c r="J556" s="11">
        <f t="shared" si="47"/>
        <v>0</v>
      </c>
      <c r="K556" t="str">
        <f t="shared" si="48"/>
        <v>May</v>
      </c>
      <c r="L556" t="str">
        <f t="shared" si="49"/>
        <v>2022</v>
      </c>
    </row>
    <row r="557" spans="1:12" x14ac:dyDescent="0.3">
      <c r="A557" t="s">
        <v>47</v>
      </c>
      <c r="B557" s="1">
        <v>45037</v>
      </c>
      <c r="C557" s="1">
        <v>45051</v>
      </c>
      <c r="D557" t="s">
        <v>10</v>
      </c>
      <c r="E557">
        <v>1149</v>
      </c>
      <c r="F557" s="8">
        <v>33</v>
      </c>
      <c r="G557">
        <v>141</v>
      </c>
      <c r="H557">
        <f t="shared" si="45"/>
        <v>14</v>
      </c>
      <c r="I557" s="9">
        <f t="shared" si="46"/>
        <v>37917</v>
      </c>
      <c r="J557" s="11">
        <f t="shared" si="47"/>
        <v>0.12271540469973891</v>
      </c>
      <c r="K557" t="str">
        <f t="shared" si="48"/>
        <v>April</v>
      </c>
      <c r="L557" t="str">
        <f t="shared" si="49"/>
        <v>2023</v>
      </c>
    </row>
    <row r="558" spans="1:12" x14ac:dyDescent="0.3">
      <c r="A558" t="s">
        <v>48</v>
      </c>
      <c r="B558" s="1">
        <v>45245</v>
      </c>
      <c r="C558" s="1">
        <v>45246</v>
      </c>
      <c r="D558" t="s">
        <v>13</v>
      </c>
      <c r="E558">
        <v>203</v>
      </c>
      <c r="F558" s="8">
        <v>23.14</v>
      </c>
      <c r="G558">
        <v>0</v>
      </c>
      <c r="H558">
        <f t="shared" si="45"/>
        <v>1</v>
      </c>
      <c r="I558" s="9">
        <f t="shared" si="46"/>
        <v>4697.42</v>
      </c>
      <c r="J558" s="11">
        <f t="shared" si="47"/>
        <v>0</v>
      </c>
      <c r="K558" t="str">
        <f t="shared" si="48"/>
        <v>November</v>
      </c>
      <c r="L558" t="str">
        <f t="shared" si="49"/>
        <v>2023</v>
      </c>
    </row>
    <row r="559" spans="1:12" x14ac:dyDescent="0.3">
      <c r="A559" t="s">
        <v>49</v>
      </c>
      <c r="B559" s="1">
        <v>45105</v>
      </c>
      <c r="C559" s="1">
        <v>45123</v>
      </c>
      <c r="D559" t="s">
        <v>9</v>
      </c>
      <c r="E559">
        <v>1729</v>
      </c>
      <c r="F559" s="8">
        <v>18.36</v>
      </c>
      <c r="G559">
        <v>47</v>
      </c>
      <c r="H559">
        <f t="shared" si="45"/>
        <v>18</v>
      </c>
      <c r="I559" s="9">
        <f t="shared" si="46"/>
        <v>31744.44</v>
      </c>
      <c r="J559" s="11">
        <f t="shared" si="47"/>
        <v>2.7183342972816656E-2</v>
      </c>
      <c r="K559" t="str">
        <f t="shared" si="48"/>
        <v>June</v>
      </c>
      <c r="L559" t="str">
        <f t="shared" si="49"/>
        <v>2023</v>
      </c>
    </row>
    <row r="560" spans="1:12" x14ac:dyDescent="0.3">
      <c r="A560" t="s">
        <v>48</v>
      </c>
      <c r="B560" s="1">
        <v>45134</v>
      </c>
      <c r="C560" s="1">
        <v>45144</v>
      </c>
      <c r="D560" t="s">
        <v>9</v>
      </c>
      <c r="E560">
        <v>1508</v>
      </c>
      <c r="F560" s="8">
        <v>79.209999999999994</v>
      </c>
      <c r="G560">
        <v>226</v>
      </c>
      <c r="H560">
        <f t="shared" si="45"/>
        <v>10</v>
      </c>
      <c r="I560" s="9">
        <f t="shared" si="46"/>
        <v>119448.68</v>
      </c>
      <c r="J560" s="11">
        <f t="shared" si="47"/>
        <v>0.14986737400530503</v>
      </c>
      <c r="K560" t="str">
        <f t="shared" si="48"/>
        <v>July</v>
      </c>
      <c r="L560" t="str">
        <f t="shared" si="49"/>
        <v>2023</v>
      </c>
    </row>
    <row r="561" spans="1:12" x14ac:dyDescent="0.3">
      <c r="A561" t="s">
        <v>48</v>
      </c>
      <c r="B561" s="1">
        <v>45171</v>
      </c>
      <c r="C561" s="1">
        <v>45184</v>
      </c>
      <c r="D561" t="s">
        <v>11</v>
      </c>
      <c r="E561">
        <v>1046</v>
      </c>
      <c r="F561" s="8">
        <v>44.65</v>
      </c>
      <c r="G561">
        <v>165</v>
      </c>
      <c r="H561">
        <f t="shared" si="45"/>
        <v>13</v>
      </c>
      <c r="I561" s="9">
        <f t="shared" si="46"/>
        <v>46703.9</v>
      </c>
      <c r="J561" s="11">
        <f t="shared" si="47"/>
        <v>0.15774378585086041</v>
      </c>
      <c r="K561" t="str">
        <f t="shared" si="48"/>
        <v>September</v>
      </c>
      <c r="L561" t="str">
        <f t="shared" si="49"/>
        <v>2023</v>
      </c>
    </row>
    <row r="562" spans="1:12" x14ac:dyDescent="0.3">
      <c r="A562" t="s">
        <v>46</v>
      </c>
      <c r="B562" s="1">
        <v>44886</v>
      </c>
      <c r="C562" s="1">
        <v>44889</v>
      </c>
      <c r="D562" t="s">
        <v>9</v>
      </c>
      <c r="E562">
        <v>1159</v>
      </c>
      <c r="F562" s="8">
        <v>78.989999999999995</v>
      </c>
      <c r="G562">
        <v>14</v>
      </c>
      <c r="H562">
        <f t="shared" si="45"/>
        <v>3</v>
      </c>
      <c r="I562" s="9">
        <f t="shared" si="46"/>
        <v>91549.409999999989</v>
      </c>
      <c r="J562" s="11">
        <f t="shared" si="47"/>
        <v>1.2079378774805867E-2</v>
      </c>
      <c r="K562" t="str">
        <f t="shared" si="48"/>
        <v>November</v>
      </c>
      <c r="L562" t="str">
        <f t="shared" si="49"/>
        <v>2022</v>
      </c>
    </row>
    <row r="563" spans="1:12" x14ac:dyDescent="0.3">
      <c r="A563" t="s">
        <v>47</v>
      </c>
      <c r="B563" s="1">
        <v>45015</v>
      </c>
      <c r="C563" s="1">
        <v>45021</v>
      </c>
      <c r="D563" t="s">
        <v>13</v>
      </c>
      <c r="E563">
        <v>746</v>
      </c>
      <c r="F563" s="8">
        <v>16.989999999999998</v>
      </c>
      <c r="G563">
        <v>69</v>
      </c>
      <c r="H563">
        <f t="shared" si="45"/>
        <v>6</v>
      </c>
      <c r="I563" s="9">
        <f t="shared" si="46"/>
        <v>12674.539999999999</v>
      </c>
      <c r="J563" s="11">
        <f t="shared" si="47"/>
        <v>9.2493297587131373E-2</v>
      </c>
      <c r="K563" t="str">
        <f t="shared" si="48"/>
        <v>March</v>
      </c>
      <c r="L563" t="str">
        <f t="shared" si="49"/>
        <v>2023</v>
      </c>
    </row>
    <row r="564" spans="1:12" x14ac:dyDescent="0.3">
      <c r="A564" t="s">
        <v>47</v>
      </c>
      <c r="B564" s="1">
        <v>45189</v>
      </c>
      <c r="C564" s="1">
        <v>45205</v>
      </c>
      <c r="D564" t="s">
        <v>11</v>
      </c>
      <c r="E564">
        <v>1358</v>
      </c>
      <c r="F564" s="8">
        <v>42.21</v>
      </c>
      <c r="G564">
        <v>128</v>
      </c>
      <c r="H564">
        <f t="shared" si="45"/>
        <v>16</v>
      </c>
      <c r="I564" s="9">
        <f t="shared" si="46"/>
        <v>57321.18</v>
      </c>
      <c r="J564" s="11">
        <f t="shared" si="47"/>
        <v>9.4256259204712811E-2</v>
      </c>
      <c r="K564" t="str">
        <f t="shared" si="48"/>
        <v>September</v>
      </c>
      <c r="L564" t="str">
        <f t="shared" si="49"/>
        <v>2023</v>
      </c>
    </row>
    <row r="565" spans="1:12" x14ac:dyDescent="0.3">
      <c r="A565" t="s">
        <v>50</v>
      </c>
      <c r="B565" s="1">
        <v>45078</v>
      </c>
      <c r="C565" s="1">
        <v>45089</v>
      </c>
      <c r="D565" t="s">
        <v>9</v>
      </c>
      <c r="E565">
        <v>1293</v>
      </c>
      <c r="F565" s="8">
        <v>63.53</v>
      </c>
      <c r="G565">
        <v>79</v>
      </c>
      <c r="H565">
        <f t="shared" si="45"/>
        <v>11</v>
      </c>
      <c r="I565" s="9">
        <f t="shared" si="46"/>
        <v>82144.290000000008</v>
      </c>
      <c r="J565" s="11">
        <f t="shared" si="47"/>
        <v>6.1098221191028618E-2</v>
      </c>
      <c r="K565" t="str">
        <f t="shared" si="48"/>
        <v>June</v>
      </c>
      <c r="L565" t="str">
        <f t="shared" si="49"/>
        <v>2023</v>
      </c>
    </row>
    <row r="566" spans="1:12" x14ac:dyDescent="0.3">
      <c r="A566" t="s">
        <v>46</v>
      </c>
      <c r="B566" s="1">
        <v>44998</v>
      </c>
      <c r="C566" s="1">
        <v>45009</v>
      </c>
      <c r="D566" t="s">
        <v>13</v>
      </c>
      <c r="E566">
        <v>1142</v>
      </c>
      <c r="F566" s="8">
        <v>86.85</v>
      </c>
      <c r="G566">
        <v>30</v>
      </c>
      <c r="H566">
        <f t="shared" si="45"/>
        <v>11</v>
      </c>
      <c r="I566" s="9">
        <f t="shared" si="46"/>
        <v>99182.7</v>
      </c>
      <c r="J566" s="11">
        <f t="shared" si="47"/>
        <v>2.6269702276707531E-2</v>
      </c>
      <c r="K566" t="str">
        <f t="shared" si="48"/>
        <v>March</v>
      </c>
      <c r="L566" t="str">
        <f t="shared" si="49"/>
        <v>2023</v>
      </c>
    </row>
    <row r="567" spans="1:12" x14ac:dyDescent="0.3">
      <c r="A567" t="s">
        <v>49</v>
      </c>
      <c r="B567" s="1">
        <v>45123</v>
      </c>
      <c r="C567" s="1">
        <v>45134</v>
      </c>
      <c r="D567" t="s">
        <v>10</v>
      </c>
      <c r="E567">
        <v>1120</v>
      </c>
      <c r="F567" s="8">
        <v>42.17</v>
      </c>
      <c r="G567">
        <v>33</v>
      </c>
      <c r="H567">
        <f t="shared" si="45"/>
        <v>11</v>
      </c>
      <c r="I567" s="9">
        <f t="shared" si="46"/>
        <v>47230.400000000001</v>
      </c>
      <c r="J567" s="11">
        <f t="shared" si="47"/>
        <v>2.9464285714285714E-2</v>
      </c>
      <c r="K567" t="str">
        <f t="shared" si="48"/>
        <v>July</v>
      </c>
      <c r="L567" t="str">
        <f t="shared" si="49"/>
        <v>2023</v>
      </c>
    </row>
    <row r="568" spans="1:12" x14ac:dyDescent="0.3">
      <c r="A568" t="s">
        <v>46</v>
      </c>
      <c r="B568" s="1">
        <v>45018</v>
      </c>
      <c r="C568" s="1">
        <v>45030</v>
      </c>
      <c r="D568" t="s">
        <v>10</v>
      </c>
      <c r="E568">
        <v>1058</v>
      </c>
      <c r="F568" s="8">
        <v>71.3</v>
      </c>
      <c r="G568">
        <v>0</v>
      </c>
      <c r="H568">
        <f t="shared" si="45"/>
        <v>12</v>
      </c>
      <c r="I568" s="9">
        <f t="shared" si="46"/>
        <v>75435.399999999994</v>
      </c>
      <c r="J568" s="11">
        <f t="shared" si="47"/>
        <v>0</v>
      </c>
      <c r="K568" t="str">
        <f t="shared" si="48"/>
        <v>April</v>
      </c>
      <c r="L568" t="str">
        <f t="shared" si="49"/>
        <v>2023</v>
      </c>
    </row>
    <row r="569" spans="1:12" x14ac:dyDescent="0.3">
      <c r="A569" t="s">
        <v>47</v>
      </c>
      <c r="B569" s="1">
        <v>45048</v>
      </c>
      <c r="C569" s="1">
        <v>45060</v>
      </c>
      <c r="D569" t="s">
        <v>10</v>
      </c>
      <c r="E569">
        <v>1823</v>
      </c>
      <c r="F569" s="8">
        <v>70.66</v>
      </c>
      <c r="G569">
        <v>202</v>
      </c>
      <c r="H569">
        <f t="shared" si="45"/>
        <v>12</v>
      </c>
      <c r="I569" s="9">
        <f t="shared" si="46"/>
        <v>128813.18</v>
      </c>
      <c r="J569" s="11">
        <f t="shared" si="47"/>
        <v>0.11080636313768513</v>
      </c>
      <c r="K569" t="str">
        <f t="shared" si="48"/>
        <v>May</v>
      </c>
      <c r="L569" t="str">
        <f t="shared" si="49"/>
        <v>2023</v>
      </c>
    </row>
    <row r="570" spans="1:12" x14ac:dyDescent="0.3">
      <c r="A570" t="s">
        <v>50</v>
      </c>
      <c r="B570" s="1">
        <v>45022</v>
      </c>
      <c r="C570" s="1">
        <v>45026</v>
      </c>
      <c r="D570" t="s">
        <v>9</v>
      </c>
      <c r="E570">
        <v>1007</v>
      </c>
      <c r="F570" s="8">
        <v>33.29</v>
      </c>
      <c r="G570">
        <v>49</v>
      </c>
      <c r="H570">
        <f t="shared" si="45"/>
        <v>4</v>
      </c>
      <c r="I570" s="9">
        <f t="shared" si="46"/>
        <v>33523.03</v>
      </c>
      <c r="J570" s="11">
        <f t="shared" si="47"/>
        <v>4.8659384309831182E-2</v>
      </c>
      <c r="K570" t="str">
        <f t="shared" si="48"/>
        <v>April</v>
      </c>
      <c r="L570" t="str">
        <f t="shared" si="49"/>
        <v>2023</v>
      </c>
    </row>
    <row r="571" spans="1:12" x14ac:dyDescent="0.3">
      <c r="A571" t="s">
        <v>50</v>
      </c>
      <c r="B571" s="1">
        <v>44827</v>
      </c>
      <c r="C571" s="1">
        <v>44842</v>
      </c>
      <c r="D571" t="s">
        <v>11</v>
      </c>
      <c r="E571">
        <v>1061</v>
      </c>
      <c r="F571" s="8">
        <v>12.68</v>
      </c>
      <c r="G571">
        <v>56</v>
      </c>
      <c r="H571">
        <f t="shared" si="45"/>
        <v>15</v>
      </c>
      <c r="I571" s="9">
        <f t="shared" si="46"/>
        <v>13453.48</v>
      </c>
      <c r="J571" s="11">
        <f t="shared" si="47"/>
        <v>5.2780395852968898E-2</v>
      </c>
      <c r="K571" t="str">
        <f t="shared" si="48"/>
        <v>September</v>
      </c>
      <c r="L571" t="str">
        <f t="shared" si="49"/>
        <v>2022</v>
      </c>
    </row>
    <row r="572" spans="1:12" x14ac:dyDescent="0.3">
      <c r="A572" t="s">
        <v>47</v>
      </c>
      <c r="B572" s="1">
        <v>44815</v>
      </c>
      <c r="C572" s="1">
        <v>44830</v>
      </c>
      <c r="D572" t="s">
        <v>10</v>
      </c>
      <c r="E572">
        <v>502</v>
      </c>
      <c r="F572" s="8">
        <v>91.84</v>
      </c>
      <c r="G572">
        <v>0</v>
      </c>
      <c r="H572">
        <f t="shared" si="45"/>
        <v>15</v>
      </c>
      <c r="I572" s="9">
        <f t="shared" si="46"/>
        <v>46103.68</v>
      </c>
      <c r="J572" s="11">
        <f t="shared" si="47"/>
        <v>0</v>
      </c>
      <c r="K572" t="str">
        <f t="shared" si="48"/>
        <v>September</v>
      </c>
      <c r="L572" t="str">
        <f t="shared" si="49"/>
        <v>2022</v>
      </c>
    </row>
    <row r="573" spans="1:12" x14ac:dyDescent="0.3">
      <c r="A573" t="s">
        <v>48</v>
      </c>
      <c r="B573" s="1">
        <v>45214</v>
      </c>
      <c r="C573" s="1">
        <v>45218</v>
      </c>
      <c r="D573" t="s">
        <v>11</v>
      </c>
      <c r="E573">
        <v>1277</v>
      </c>
      <c r="F573" s="8">
        <v>13.17</v>
      </c>
      <c r="G573">
        <v>199</v>
      </c>
      <c r="H573">
        <f t="shared" si="45"/>
        <v>4</v>
      </c>
      <c r="I573" s="9">
        <f t="shared" si="46"/>
        <v>16818.09</v>
      </c>
      <c r="J573" s="11">
        <f t="shared" si="47"/>
        <v>0.1558339859044636</v>
      </c>
      <c r="K573" t="str">
        <f t="shared" si="48"/>
        <v>October</v>
      </c>
      <c r="L573" t="str">
        <f t="shared" si="49"/>
        <v>2023</v>
      </c>
    </row>
    <row r="574" spans="1:12" x14ac:dyDescent="0.3">
      <c r="A574" t="s">
        <v>46</v>
      </c>
      <c r="B574" s="1">
        <v>44845</v>
      </c>
      <c r="C574" s="1">
        <v>44858</v>
      </c>
      <c r="D574" t="s">
        <v>11</v>
      </c>
      <c r="E574">
        <v>961</v>
      </c>
      <c r="F574" s="8">
        <v>92.72</v>
      </c>
      <c r="G574">
        <v>22</v>
      </c>
      <c r="H574">
        <f t="shared" si="45"/>
        <v>13</v>
      </c>
      <c r="I574" s="9">
        <f t="shared" si="46"/>
        <v>89103.92</v>
      </c>
      <c r="J574" s="11">
        <f t="shared" si="47"/>
        <v>2.2892819979188347E-2</v>
      </c>
      <c r="K574" t="str">
        <f t="shared" si="48"/>
        <v>October</v>
      </c>
      <c r="L574" t="str">
        <f t="shared" si="49"/>
        <v>2022</v>
      </c>
    </row>
    <row r="575" spans="1:12" x14ac:dyDescent="0.3">
      <c r="A575" t="s">
        <v>50</v>
      </c>
      <c r="B575" s="1">
        <v>45095</v>
      </c>
      <c r="C575" s="1">
        <v>45109</v>
      </c>
      <c r="D575" t="s">
        <v>11</v>
      </c>
      <c r="E575">
        <v>267</v>
      </c>
      <c r="F575" s="8">
        <v>62.5</v>
      </c>
      <c r="G575">
        <v>17</v>
      </c>
      <c r="H575">
        <f t="shared" si="45"/>
        <v>14</v>
      </c>
      <c r="I575" s="9">
        <f t="shared" si="46"/>
        <v>16687.5</v>
      </c>
      <c r="J575" s="11">
        <f t="shared" si="47"/>
        <v>6.3670411985018729E-2</v>
      </c>
      <c r="K575" t="str">
        <f t="shared" si="48"/>
        <v>June</v>
      </c>
      <c r="L575" t="str">
        <f t="shared" si="49"/>
        <v>2023</v>
      </c>
    </row>
    <row r="576" spans="1:12" x14ac:dyDescent="0.3">
      <c r="A576" t="s">
        <v>48</v>
      </c>
      <c r="B576" s="1">
        <v>45058</v>
      </c>
      <c r="C576" s="1">
        <v>45064</v>
      </c>
      <c r="D576" t="s">
        <v>12</v>
      </c>
      <c r="E576">
        <v>523</v>
      </c>
      <c r="F576" s="8">
        <v>102.08</v>
      </c>
      <c r="G576">
        <v>0</v>
      </c>
      <c r="H576">
        <f t="shared" si="45"/>
        <v>6</v>
      </c>
      <c r="I576" s="9">
        <f t="shared" si="46"/>
        <v>53387.839999999997</v>
      </c>
      <c r="J576" s="11">
        <f t="shared" si="47"/>
        <v>0</v>
      </c>
      <c r="K576" t="str">
        <f t="shared" si="48"/>
        <v>May</v>
      </c>
      <c r="L576" t="str">
        <f t="shared" si="49"/>
        <v>2023</v>
      </c>
    </row>
    <row r="577" spans="1:12" x14ac:dyDescent="0.3">
      <c r="A577" t="s">
        <v>49</v>
      </c>
      <c r="B577" s="1">
        <v>45203</v>
      </c>
      <c r="C577" s="1">
        <v>45222</v>
      </c>
      <c r="D577" t="s">
        <v>13</v>
      </c>
      <c r="E577">
        <v>481</v>
      </c>
      <c r="F577" s="8">
        <v>90.49</v>
      </c>
      <c r="G577">
        <v>0</v>
      </c>
      <c r="H577">
        <f t="shared" si="45"/>
        <v>19</v>
      </c>
      <c r="I577" s="9">
        <f t="shared" si="46"/>
        <v>43525.689999999995</v>
      </c>
      <c r="J577" s="11">
        <f t="shared" si="47"/>
        <v>0</v>
      </c>
      <c r="K577" t="str">
        <f t="shared" si="48"/>
        <v>October</v>
      </c>
      <c r="L577" t="str">
        <f t="shared" si="49"/>
        <v>2023</v>
      </c>
    </row>
    <row r="578" spans="1:12" x14ac:dyDescent="0.3">
      <c r="A578" t="s">
        <v>50</v>
      </c>
      <c r="B578" s="1">
        <v>44806</v>
      </c>
      <c r="C578" s="1">
        <v>44813</v>
      </c>
      <c r="D578" t="s">
        <v>9</v>
      </c>
      <c r="E578">
        <v>390</v>
      </c>
      <c r="F578" s="8">
        <v>103.81</v>
      </c>
      <c r="G578">
        <v>20</v>
      </c>
      <c r="H578">
        <f t="shared" si="45"/>
        <v>7</v>
      </c>
      <c r="I578" s="9">
        <f t="shared" si="46"/>
        <v>40485.9</v>
      </c>
      <c r="J578" s="11">
        <f t="shared" si="47"/>
        <v>5.128205128205128E-2</v>
      </c>
      <c r="K578" t="str">
        <f t="shared" si="48"/>
        <v>September</v>
      </c>
      <c r="L578" t="str">
        <f t="shared" si="49"/>
        <v>2022</v>
      </c>
    </row>
    <row r="579" spans="1:12" x14ac:dyDescent="0.3">
      <c r="A579" t="s">
        <v>49</v>
      </c>
      <c r="B579" s="1">
        <v>44843</v>
      </c>
      <c r="C579" s="1">
        <v>44859</v>
      </c>
      <c r="D579" t="s">
        <v>11</v>
      </c>
      <c r="E579">
        <v>600</v>
      </c>
      <c r="F579" s="8">
        <v>43.43</v>
      </c>
      <c r="G579">
        <v>22</v>
      </c>
      <c r="H579">
        <f t="shared" si="45"/>
        <v>16</v>
      </c>
      <c r="I579" s="9">
        <f t="shared" si="46"/>
        <v>26058</v>
      </c>
      <c r="J579" s="11">
        <f t="shared" si="47"/>
        <v>3.6666666666666667E-2</v>
      </c>
      <c r="K579" t="str">
        <f t="shared" si="48"/>
        <v>October</v>
      </c>
      <c r="L579" t="str">
        <f t="shared" si="49"/>
        <v>2022</v>
      </c>
    </row>
    <row r="580" spans="1:12" x14ac:dyDescent="0.3">
      <c r="A580" t="s">
        <v>49</v>
      </c>
      <c r="B580" s="1">
        <v>44641</v>
      </c>
      <c r="C580" s="1">
        <v>44651</v>
      </c>
      <c r="D580" t="s">
        <v>11</v>
      </c>
      <c r="E580">
        <v>1362</v>
      </c>
      <c r="F580" s="8">
        <v>46.64</v>
      </c>
      <c r="G580">
        <v>33</v>
      </c>
      <c r="H580">
        <f t="shared" ref="H580:H643" si="50" xml:space="preserve"> C580-B580</f>
        <v>10</v>
      </c>
      <c r="I580" s="9">
        <f t="shared" ref="I580:I643" si="51">F580*E580</f>
        <v>63523.68</v>
      </c>
      <c r="J580" s="11">
        <f t="shared" ref="J580:J643" si="52">(G580/E580)</f>
        <v>2.4229074889867842E-2</v>
      </c>
      <c r="K580" t="str">
        <f t="shared" ref="K580:K643" si="53">TEXT(B580,"mmmm")</f>
        <v>March</v>
      </c>
      <c r="L580" t="str">
        <f t="shared" ref="L580:L643" si="54">TEXT(B580,"yyyy")</f>
        <v>2022</v>
      </c>
    </row>
    <row r="581" spans="1:12" x14ac:dyDescent="0.3">
      <c r="A581" t="s">
        <v>49</v>
      </c>
      <c r="B581" s="1">
        <v>44588</v>
      </c>
      <c r="C581" s="1">
        <v>44601</v>
      </c>
      <c r="D581" t="s">
        <v>9</v>
      </c>
      <c r="E581">
        <v>1415</v>
      </c>
      <c r="F581" s="8">
        <v>80.19</v>
      </c>
      <c r="G581">
        <v>0</v>
      </c>
      <c r="H581">
        <f t="shared" si="50"/>
        <v>13</v>
      </c>
      <c r="I581" s="9">
        <f t="shared" si="51"/>
        <v>113468.84999999999</v>
      </c>
      <c r="J581" s="11">
        <f t="shared" si="52"/>
        <v>0</v>
      </c>
      <c r="K581" t="str">
        <f t="shared" si="53"/>
        <v>January</v>
      </c>
      <c r="L581" t="str">
        <f t="shared" si="54"/>
        <v>2022</v>
      </c>
    </row>
    <row r="582" spans="1:12" x14ac:dyDescent="0.3">
      <c r="A582" t="s">
        <v>46</v>
      </c>
      <c r="B582" s="1">
        <v>44802</v>
      </c>
      <c r="C582" s="1">
        <v>44810</v>
      </c>
      <c r="D582" t="s">
        <v>9</v>
      </c>
      <c r="E582">
        <v>406</v>
      </c>
      <c r="F582" s="8">
        <v>91.73</v>
      </c>
      <c r="G582">
        <v>0</v>
      </c>
      <c r="H582">
        <f t="shared" si="50"/>
        <v>8</v>
      </c>
      <c r="I582" s="9">
        <f t="shared" si="51"/>
        <v>37242.380000000005</v>
      </c>
      <c r="J582" s="11">
        <f t="shared" si="52"/>
        <v>0</v>
      </c>
      <c r="K582" t="str">
        <f t="shared" si="53"/>
        <v>August</v>
      </c>
      <c r="L582" t="str">
        <f t="shared" si="54"/>
        <v>2022</v>
      </c>
    </row>
    <row r="583" spans="1:12" x14ac:dyDescent="0.3">
      <c r="A583" t="s">
        <v>50</v>
      </c>
      <c r="B583" s="1">
        <v>44840</v>
      </c>
      <c r="C583" s="1">
        <v>44852</v>
      </c>
      <c r="D583" t="s">
        <v>12</v>
      </c>
      <c r="E583">
        <v>72</v>
      </c>
      <c r="F583" s="8">
        <v>103</v>
      </c>
      <c r="G583">
        <v>1</v>
      </c>
      <c r="H583">
        <f t="shared" si="50"/>
        <v>12</v>
      </c>
      <c r="I583" s="9">
        <f t="shared" si="51"/>
        <v>7416</v>
      </c>
      <c r="J583" s="11">
        <f t="shared" si="52"/>
        <v>1.3888888888888888E-2</v>
      </c>
      <c r="K583" t="str">
        <f t="shared" si="53"/>
        <v>October</v>
      </c>
      <c r="L583" t="str">
        <f t="shared" si="54"/>
        <v>2022</v>
      </c>
    </row>
    <row r="584" spans="1:12" x14ac:dyDescent="0.3">
      <c r="A584" t="s">
        <v>50</v>
      </c>
      <c r="B584" s="1">
        <v>44905</v>
      </c>
      <c r="C584" s="1">
        <v>44915</v>
      </c>
      <c r="D584" t="s">
        <v>9</v>
      </c>
      <c r="E584">
        <v>1835</v>
      </c>
      <c r="F584" s="8">
        <v>83.5</v>
      </c>
      <c r="G584">
        <v>85</v>
      </c>
      <c r="H584">
        <f t="shared" si="50"/>
        <v>10</v>
      </c>
      <c r="I584" s="9">
        <f t="shared" si="51"/>
        <v>153222.5</v>
      </c>
      <c r="J584" s="11">
        <f t="shared" si="52"/>
        <v>4.632152588555858E-2</v>
      </c>
      <c r="K584" t="str">
        <f t="shared" si="53"/>
        <v>December</v>
      </c>
      <c r="L584" t="str">
        <f t="shared" si="54"/>
        <v>2022</v>
      </c>
    </row>
    <row r="585" spans="1:12" x14ac:dyDescent="0.3">
      <c r="A585" t="s">
        <v>48</v>
      </c>
      <c r="B585" s="1">
        <v>44889</v>
      </c>
      <c r="C585" s="1">
        <v>44905</v>
      </c>
      <c r="D585" t="s">
        <v>13</v>
      </c>
      <c r="E585">
        <v>571</v>
      </c>
      <c r="F585" s="8">
        <v>49.98</v>
      </c>
      <c r="G585">
        <v>0</v>
      </c>
      <c r="H585">
        <f t="shared" si="50"/>
        <v>16</v>
      </c>
      <c r="I585" s="9">
        <f t="shared" si="51"/>
        <v>28538.579999999998</v>
      </c>
      <c r="J585" s="11">
        <f t="shared" si="52"/>
        <v>0</v>
      </c>
      <c r="K585" t="str">
        <f t="shared" si="53"/>
        <v>November</v>
      </c>
      <c r="L585" t="str">
        <f t="shared" si="54"/>
        <v>2022</v>
      </c>
    </row>
    <row r="586" spans="1:12" x14ac:dyDescent="0.3">
      <c r="A586" t="s">
        <v>49</v>
      </c>
      <c r="B586" s="1">
        <v>45115</v>
      </c>
      <c r="C586" s="1">
        <v>45116</v>
      </c>
      <c r="D586" t="s">
        <v>11</v>
      </c>
      <c r="E586">
        <v>1831</v>
      </c>
      <c r="F586" s="8">
        <v>52.24</v>
      </c>
      <c r="G586">
        <v>60</v>
      </c>
      <c r="H586">
        <f t="shared" si="50"/>
        <v>1</v>
      </c>
      <c r="I586" s="9">
        <f t="shared" si="51"/>
        <v>95651.44</v>
      </c>
      <c r="J586" s="11">
        <f t="shared" si="52"/>
        <v>3.2768978700163848E-2</v>
      </c>
      <c r="K586" t="str">
        <f t="shared" si="53"/>
        <v>July</v>
      </c>
      <c r="L586" t="str">
        <f t="shared" si="54"/>
        <v>2023</v>
      </c>
    </row>
    <row r="587" spans="1:12" x14ac:dyDescent="0.3">
      <c r="A587" t="s">
        <v>47</v>
      </c>
      <c r="B587" s="1">
        <v>44644</v>
      </c>
      <c r="C587" s="1">
        <v>44658</v>
      </c>
      <c r="D587" t="s">
        <v>9</v>
      </c>
      <c r="E587">
        <v>1910</v>
      </c>
      <c r="F587" s="8">
        <v>77.150000000000006</v>
      </c>
      <c r="G587">
        <v>170</v>
      </c>
      <c r="H587">
        <f t="shared" si="50"/>
        <v>14</v>
      </c>
      <c r="I587" s="9">
        <f t="shared" si="51"/>
        <v>147356.5</v>
      </c>
      <c r="J587" s="11">
        <f t="shared" si="52"/>
        <v>8.9005235602094238E-2</v>
      </c>
      <c r="K587" t="str">
        <f t="shared" si="53"/>
        <v>March</v>
      </c>
      <c r="L587" t="str">
        <f t="shared" si="54"/>
        <v>2022</v>
      </c>
    </row>
    <row r="588" spans="1:12" x14ac:dyDescent="0.3">
      <c r="A588" t="s">
        <v>50</v>
      </c>
      <c r="B588" s="1">
        <v>44703</v>
      </c>
      <c r="C588" s="1">
        <v>44712</v>
      </c>
      <c r="D588" t="s">
        <v>13</v>
      </c>
      <c r="E588">
        <v>1173</v>
      </c>
      <c r="F588" s="8">
        <v>32.119999999999997</v>
      </c>
      <c r="G588">
        <v>0</v>
      </c>
      <c r="H588">
        <f t="shared" si="50"/>
        <v>9</v>
      </c>
      <c r="I588" s="9">
        <f t="shared" si="51"/>
        <v>37676.759999999995</v>
      </c>
      <c r="J588" s="11">
        <f t="shared" si="52"/>
        <v>0</v>
      </c>
      <c r="K588" t="str">
        <f t="shared" si="53"/>
        <v>May</v>
      </c>
      <c r="L588" t="str">
        <f t="shared" si="54"/>
        <v>2022</v>
      </c>
    </row>
    <row r="589" spans="1:12" x14ac:dyDescent="0.3">
      <c r="A589" t="s">
        <v>49</v>
      </c>
      <c r="B589" s="1">
        <v>44716</v>
      </c>
      <c r="C589" s="1">
        <v>44729</v>
      </c>
      <c r="D589" t="s">
        <v>11</v>
      </c>
      <c r="E589">
        <v>851</v>
      </c>
      <c r="F589" s="8">
        <v>20.440000000000001</v>
      </c>
      <c r="G589">
        <v>22</v>
      </c>
      <c r="H589">
        <f t="shared" si="50"/>
        <v>13</v>
      </c>
      <c r="I589" s="9">
        <f t="shared" si="51"/>
        <v>17394.440000000002</v>
      </c>
      <c r="J589" s="11">
        <f t="shared" si="52"/>
        <v>2.5851938895417155E-2</v>
      </c>
      <c r="K589" t="str">
        <f t="shared" si="53"/>
        <v>June</v>
      </c>
      <c r="L589" t="str">
        <f t="shared" si="54"/>
        <v>2022</v>
      </c>
    </row>
    <row r="590" spans="1:12" x14ac:dyDescent="0.3">
      <c r="A590" t="s">
        <v>49</v>
      </c>
      <c r="B590" s="1">
        <v>44798</v>
      </c>
      <c r="C590" s="1">
        <v>44811</v>
      </c>
      <c r="D590" t="s">
        <v>10</v>
      </c>
      <c r="E590">
        <v>1253</v>
      </c>
      <c r="F590" s="8">
        <v>43.38</v>
      </c>
      <c r="G590">
        <v>34</v>
      </c>
      <c r="H590">
        <f t="shared" si="50"/>
        <v>13</v>
      </c>
      <c r="I590" s="9">
        <f t="shared" si="51"/>
        <v>54355.140000000007</v>
      </c>
      <c r="J590" s="11">
        <f t="shared" si="52"/>
        <v>2.7134876296887472E-2</v>
      </c>
      <c r="K590" t="str">
        <f t="shared" si="53"/>
        <v>August</v>
      </c>
      <c r="L590" t="str">
        <f t="shared" si="54"/>
        <v>2022</v>
      </c>
    </row>
    <row r="591" spans="1:12" x14ac:dyDescent="0.3">
      <c r="A591" t="s">
        <v>50</v>
      </c>
      <c r="B591" s="1">
        <v>44587</v>
      </c>
      <c r="C591" s="1">
        <v>44607</v>
      </c>
      <c r="D591" t="s">
        <v>10</v>
      </c>
      <c r="E591">
        <v>910</v>
      </c>
      <c r="F591" s="8">
        <v>95.51</v>
      </c>
      <c r="G591">
        <v>41</v>
      </c>
      <c r="H591">
        <f t="shared" si="50"/>
        <v>20</v>
      </c>
      <c r="I591" s="9">
        <f t="shared" si="51"/>
        <v>86914.1</v>
      </c>
      <c r="J591" s="11">
        <f t="shared" si="52"/>
        <v>4.5054945054945054E-2</v>
      </c>
      <c r="K591" t="str">
        <f t="shared" si="53"/>
        <v>January</v>
      </c>
      <c r="L591" t="str">
        <f t="shared" si="54"/>
        <v>2022</v>
      </c>
    </row>
    <row r="592" spans="1:12" x14ac:dyDescent="0.3">
      <c r="A592" t="s">
        <v>47</v>
      </c>
      <c r="B592" s="1">
        <v>45272</v>
      </c>
      <c r="C592" s="1">
        <v>45290</v>
      </c>
      <c r="D592" t="s">
        <v>12</v>
      </c>
      <c r="E592">
        <v>1979</v>
      </c>
      <c r="F592" s="8">
        <v>40.880000000000003</v>
      </c>
      <c r="G592">
        <v>221</v>
      </c>
      <c r="H592">
        <f t="shared" si="50"/>
        <v>18</v>
      </c>
      <c r="I592" s="9">
        <f t="shared" si="51"/>
        <v>80901.52</v>
      </c>
      <c r="J592" s="11">
        <f t="shared" si="52"/>
        <v>0.11167256189994947</v>
      </c>
      <c r="K592" t="str">
        <f t="shared" si="53"/>
        <v>December</v>
      </c>
      <c r="L592" t="str">
        <f t="shared" si="54"/>
        <v>2023</v>
      </c>
    </row>
    <row r="593" spans="1:12" x14ac:dyDescent="0.3">
      <c r="A593" t="s">
        <v>50</v>
      </c>
      <c r="B593" s="1">
        <v>44718</v>
      </c>
      <c r="C593" s="1">
        <v>44731</v>
      </c>
      <c r="D593" t="s">
        <v>9</v>
      </c>
      <c r="E593">
        <v>811</v>
      </c>
      <c r="F593" s="8">
        <v>31.8</v>
      </c>
      <c r="G593">
        <v>58</v>
      </c>
      <c r="H593">
        <f t="shared" si="50"/>
        <v>13</v>
      </c>
      <c r="I593" s="9">
        <f t="shared" si="51"/>
        <v>25789.8</v>
      </c>
      <c r="J593" s="11">
        <f t="shared" si="52"/>
        <v>7.1516646115906288E-2</v>
      </c>
      <c r="K593" t="str">
        <f t="shared" si="53"/>
        <v>June</v>
      </c>
      <c r="L593" t="str">
        <f t="shared" si="54"/>
        <v>2022</v>
      </c>
    </row>
    <row r="594" spans="1:12" x14ac:dyDescent="0.3">
      <c r="A594" t="s">
        <v>46</v>
      </c>
      <c r="B594" s="1">
        <v>45285</v>
      </c>
      <c r="C594" s="1">
        <v>45303</v>
      </c>
      <c r="D594" t="s">
        <v>13</v>
      </c>
      <c r="E594">
        <v>1732</v>
      </c>
      <c r="F594" s="8">
        <v>15.37</v>
      </c>
      <c r="G594">
        <v>38</v>
      </c>
      <c r="H594">
        <f t="shared" si="50"/>
        <v>18</v>
      </c>
      <c r="I594" s="9">
        <f t="shared" si="51"/>
        <v>26620.84</v>
      </c>
      <c r="J594" s="11">
        <f t="shared" si="52"/>
        <v>2.1939953810623556E-2</v>
      </c>
      <c r="K594" t="str">
        <f t="shared" si="53"/>
        <v>December</v>
      </c>
      <c r="L594" t="str">
        <f t="shared" si="54"/>
        <v>2023</v>
      </c>
    </row>
    <row r="595" spans="1:12" x14ac:dyDescent="0.3">
      <c r="A595" t="s">
        <v>47</v>
      </c>
      <c r="B595" s="1">
        <v>44781</v>
      </c>
      <c r="C595" s="1">
        <v>44801</v>
      </c>
      <c r="D595" t="s">
        <v>11</v>
      </c>
      <c r="E595">
        <v>491</v>
      </c>
      <c r="F595" s="8">
        <v>12.01</v>
      </c>
      <c r="G595">
        <v>47</v>
      </c>
      <c r="H595">
        <f t="shared" si="50"/>
        <v>20</v>
      </c>
      <c r="I595" s="9">
        <f t="shared" si="51"/>
        <v>5896.91</v>
      </c>
      <c r="J595" s="11">
        <f t="shared" si="52"/>
        <v>9.5723014256619138E-2</v>
      </c>
      <c r="K595" t="str">
        <f t="shared" si="53"/>
        <v>August</v>
      </c>
      <c r="L595" t="str">
        <f t="shared" si="54"/>
        <v>2022</v>
      </c>
    </row>
    <row r="596" spans="1:12" x14ac:dyDescent="0.3">
      <c r="A596" t="s">
        <v>50</v>
      </c>
      <c r="B596" s="1">
        <v>44627</v>
      </c>
      <c r="C596" s="1">
        <v>44631</v>
      </c>
      <c r="D596" t="s">
        <v>11</v>
      </c>
      <c r="E596">
        <v>1681</v>
      </c>
      <c r="F596" s="8">
        <v>99.88</v>
      </c>
      <c r="G596">
        <v>90</v>
      </c>
      <c r="H596">
        <f t="shared" si="50"/>
        <v>4</v>
      </c>
      <c r="I596" s="9">
        <f t="shared" si="51"/>
        <v>167898.28</v>
      </c>
      <c r="J596" s="11">
        <f t="shared" si="52"/>
        <v>5.353955978584176E-2</v>
      </c>
      <c r="K596" t="str">
        <f t="shared" si="53"/>
        <v>March</v>
      </c>
      <c r="L596" t="str">
        <f t="shared" si="54"/>
        <v>2022</v>
      </c>
    </row>
    <row r="597" spans="1:12" x14ac:dyDescent="0.3">
      <c r="A597" t="s">
        <v>46</v>
      </c>
      <c r="B597" s="1">
        <v>44986</v>
      </c>
      <c r="C597" s="1">
        <v>44990</v>
      </c>
      <c r="D597" t="s">
        <v>12</v>
      </c>
      <c r="E597">
        <v>818</v>
      </c>
      <c r="F597" s="8">
        <v>51.89</v>
      </c>
      <c r="G597">
        <v>12</v>
      </c>
      <c r="H597">
        <f t="shared" si="50"/>
        <v>4</v>
      </c>
      <c r="I597" s="9">
        <f t="shared" si="51"/>
        <v>42446.020000000004</v>
      </c>
      <c r="J597" s="11">
        <f t="shared" si="52"/>
        <v>1.4669926650366748E-2</v>
      </c>
      <c r="K597" t="str">
        <f t="shared" si="53"/>
        <v>March</v>
      </c>
      <c r="L597" t="str">
        <f t="shared" si="54"/>
        <v>2023</v>
      </c>
    </row>
    <row r="598" spans="1:12" x14ac:dyDescent="0.3">
      <c r="A598" t="s">
        <v>47</v>
      </c>
      <c r="B598" s="1">
        <v>44979</v>
      </c>
      <c r="C598" s="1">
        <v>44990</v>
      </c>
      <c r="D598" t="s">
        <v>9</v>
      </c>
      <c r="E598">
        <v>1065</v>
      </c>
      <c r="F598" s="8">
        <v>47.49</v>
      </c>
      <c r="G598">
        <v>113</v>
      </c>
      <c r="H598">
        <f t="shared" si="50"/>
        <v>11</v>
      </c>
      <c r="I598" s="9">
        <f t="shared" si="51"/>
        <v>50576.85</v>
      </c>
      <c r="J598" s="11">
        <f t="shared" si="52"/>
        <v>0.10610328638497653</v>
      </c>
      <c r="K598" t="str">
        <f t="shared" si="53"/>
        <v>February</v>
      </c>
      <c r="L598" t="str">
        <f t="shared" si="54"/>
        <v>2023</v>
      </c>
    </row>
    <row r="599" spans="1:12" x14ac:dyDescent="0.3">
      <c r="A599" t="s">
        <v>50</v>
      </c>
      <c r="B599" s="1">
        <v>44900</v>
      </c>
      <c r="C599" s="1">
        <v>44912</v>
      </c>
      <c r="D599" t="s">
        <v>11</v>
      </c>
      <c r="E599">
        <v>1398</v>
      </c>
      <c r="F599" s="8">
        <v>75.08</v>
      </c>
      <c r="G599">
        <v>57</v>
      </c>
      <c r="H599">
        <f t="shared" si="50"/>
        <v>12</v>
      </c>
      <c r="I599" s="9">
        <f t="shared" si="51"/>
        <v>104961.84</v>
      </c>
      <c r="J599" s="11">
        <f t="shared" si="52"/>
        <v>4.07725321888412E-2</v>
      </c>
      <c r="K599" t="str">
        <f t="shared" si="53"/>
        <v>December</v>
      </c>
      <c r="L599" t="str">
        <f t="shared" si="54"/>
        <v>2022</v>
      </c>
    </row>
    <row r="600" spans="1:12" x14ac:dyDescent="0.3">
      <c r="A600" t="s">
        <v>47</v>
      </c>
      <c r="B600" s="1">
        <v>45117</v>
      </c>
      <c r="C600" s="1">
        <v>45124</v>
      </c>
      <c r="D600" t="s">
        <v>11</v>
      </c>
      <c r="E600">
        <v>565</v>
      </c>
      <c r="F600" s="8">
        <v>32.31</v>
      </c>
      <c r="G600">
        <v>60</v>
      </c>
      <c r="H600">
        <f t="shared" si="50"/>
        <v>7</v>
      </c>
      <c r="I600" s="9">
        <f t="shared" si="51"/>
        <v>18255.150000000001</v>
      </c>
      <c r="J600" s="11">
        <f t="shared" si="52"/>
        <v>0.10619469026548672</v>
      </c>
      <c r="K600" t="str">
        <f t="shared" si="53"/>
        <v>July</v>
      </c>
      <c r="L600" t="str">
        <f t="shared" si="54"/>
        <v>2023</v>
      </c>
    </row>
    <row r="601" spans="1:12" x14ac:dyDescent="0.3">
      <c r="A601" t="s">
        <v>49</v>
      </c>
      <c r="B601" s="1">
        <v>45039</v>
      </c>
      <c r="C601" s="1">
        <v>45052</v>
      </c>
      <c r="D601" t="s">
        <v>11</v>
      </c>
      <c r="E601">
        <v>1089</v>
      </c>
      <c r="F601" s="8">
        <v>102.66</v>
      </c>
      <c r="G601">
        <v>33</v>
      </c>
      <c r="H601">
        <f t="shared" si="50"/>
        <v>13</v>
      </c>
      <c r="I601" s="9">
        <f t="shared" si="51"/>
        <v>111796.73999999999</v>
      </c>
      <c r="J601" s="11">
        <f t="shared" si="52"/>
        <v>3.0303030303030304E-2</v>
      </c>
      <c r="K601" t="str">
        <f t="shared" si="53"/>
        <v>April</v>
      </c>
      <c r="L601" t="str">
        <f t="shared" si="54"/>
        <v>2023</v>
      </c>
    </row>
    <row r="602" spans="1:12" x14ac:dyDescent="0.3">
      <c r="A602" t="s">
        <v>48</v>
      </c>
      <c r="B602" s="1">
        <v>44987</v>
      </c>
      <c r="C602" s="1">
        <v>44989</v>
      </c>
      <c r="D602" t="s">
        <v>13</v>
      </c>
      <c r="E602">
        <v>841</v>
      </c>
      <c r="F602" s="8">
        <v>86.43</v>
      </c>
      <c r="G602">
        <v>125</v>
      </c>
      <c r="H602">
        <f t="shared" si="50"/>
        <v>2</v>
      </c>
      <c r="I602" s="9">
        <f t="shared" si="51"/>
        <v>72687.63</v>
      </c>
      <c r="J602" s="11">
        <f t="shared" si="52"/>
        <v>0.14863258026159334</v>
      </c>
      <c r="K602" t="str">
        <f t="shared" si="53"/>
        <v>March</v>
      </c>
      <c r="L602" t="str">
        <f t="shared" si="54"/>
        <v>2023</v>
      </c>
    </row>
    <row r="603" spans="1:12" x14ac:dyDescent="0.3">
      <c r="A603" t="s">
        <v>48</v>
      </c>
      <c r="B603" s="1">
        <v>44625</v>
      </c>
      <c r="C603" s="1">
        <v>44636</v>
      </c>
      <c r="D603" t="s">
        <v>13</v>
      </c>
      <c r="E603">
        <v>385</v>
      </c>
      <c r="F603" s="8">
        <v>18.23</v>
      </c>
      <c r="G603">
        <v>0</v>
      </c>
      <c r="H603">
        <f t="shared" si="50"/>
        <v>11</v>
      </c>
      <c r="I603" s="9">
        <f t="shared" si="51"/>
        <v>7018.55</v>
      </c>
      <c r="J603" s="11">
        <f t="shared" si="52"/>
        <v>0</v>
      </c>
      <c r="K603" t="str">
        <f t="shared" si="53"/>
        <v>March</v>
      </c>
      <c r="L603" t="str">
        <f t="shared" si="54"/>
        <v>2022</v>
      </c>
    </row>
    <row r="604" spans="1:12" x14ac:dyDescent="0.3">
      <c r="A604" t="s">
        <v>49</v>
      </c>
      <c r="B604" s="1">
        <v>44773</v>
      </c>
      <c r="C604" s="1">
        <v>44790</v>
      </c>
      <c r="D604" t="s">
        <v>9</v>
      </c>
      <c r="E604">
        <v>1832</v>
      </c>
      <c r="F604" s="8">
        <v>49.01</v>
      </c>
      <c r="G604">
        <v>52</v>
      </c>
      <c r="H604">
        <f t="shared" si="50"/>
        <v>17</v>
      </c>
      <c r="I604" s="9">
        <f t="shared" si="51"/>
        <v>89786.319999999992</v>
      </c>
      <c r="J604" s="11">
        <f t="shared" si="52"/>
        <v>2.8384279475982533E-2</v>
      </c>
      <c r="K604" t="str">
        <f t="shared" si="53"/>
        <v>July</v>
      </c>
      <c r="L604" t="str">
        <f t="shared" si="54"/>
        <v>2022</v>
      </c>
    </row>
    <row r="605" spans="1:12" x14ac:dyDescent="0.3">
      <c r="A605" t="s">
        <v>47</v>
      </c>
      <c r="B605" s="1">
        <v>44992</v>
      </c>
      <c r="C605" s="1">
        <v>45012</v>
      </c>
      <c r="D605" t="s">
        <v>12</v>
      </c>
      <c r="E605">
        <v>307</v>
      </c>
      <c r="F605" s="8">
        <v>95.36</v>
      </c>
      <c r="G605">
        <v>29</v>
      </c>
      <c r="H605">
        <f t="shared" si="50"/>
        <v>20</v>
      </c>
      <c r="I605" s="9">
        <f t="shared" si="51"/>
        <v>29275.52</v>
      </c>
      <c r="J605" s="11">
        <f t="shared" si="52"/>
        <v>9.4462540716612378E-2</v>
      </c>
      <c r="K605" t="str">
        <f t="shared" si="53"/>
        <v>March</v>
      </c>
      <c r="L605" t="str">
        <f t="shared" si="54"/>
        <v>2023</v>
      </c>
    </row>
    <row r="606" spans="1:12" x14ac:dyDescent="0.3">
      <c r="A606" t="s">
        <v>49</v>
      </c>
      <c r="B606" s="1">
        <v>44960</v>
      </c>
      <c r="C606" s="1">
        <v>44965</v>
      </c>
      <c r="D606" t="s">
        <v>9</v>
      </c>
      <c r="E606">
        <v>546</v>
      </c>
      <c r="F606" s="8">
        <v>101.2</v>
      </c>
      <c r="G606">
        <v>21</v>
      </c>
      <c r="H606">
        <f t="shared" si="50"/>
        <v>5</v>
      </c>
      <c r="I606" s="9">
        <f t="shared" si="51"/>
        <v>55255.200000000004</v>
      </c>
      <c r="J606" s="11">
        <f t="shared" si="52"/>
        <v>3.8461538461538464E-2</v>
      </c>
      <c r="K606" t="str">
        <f t="shared" si="53"/>
        <v>February</v>
      </c>
      <c r="L606" t="str">
        <f t="shared" si="54"/>
        <v>2023</v>
      </c>
    </row>
    <row r="607" spans="1:12" x14ac:dyDescent="0.3">
      <c r="A607" t="s">
        <v>48</v>
      </c>
      <c r="B607" s="1">
        <v>45160</v>
      </c>
      <c r="C607" s="1">
        <v>45180</v>
      </c>
      <c r="D607" t="s">
        <v>12</v>
      </c>
      <c r="E607">
        <v>945</v>
      </c>
      <c r="F607" s="8">
        <v>57.01</v>
      </c>
      <c r="G607">
        <v>147</v>
      </c>
      <c r="H607">
        <f t="shared" si="50"/>
        <v>20</v>
      </c>
      <c r="I607" s="9">
        <f t="shared" si="51"/>
        <v>53874.45</v>
      </c>
      <c r="J607" s="11">
        <f t="shared" si="52"/>
        <v>0.15555555555555556</v>
      </c>
      <c r="K607" t="str">
        <f t="shared" si="53"/>
        <v>August</v>
      </c>
      <c r="L607" t="str">
        <f t="shared" si="54"/>
        <v>2023</v>
      </c>
    </row>
    <row r="608" spans="1:12" x14ac:dyDescent="0.3">
      <c r="A608" t="s">
        <v>48</v>
      </c>
      <c r="B608" s="1">
        <v>45274</v>
      </c>
      <c r="C608" s="1">
        <v>45287</v>
      </c>
      <c r="D608" t="s">
        <v>10</v>
      </c>
      <c r="E608">
        <v>209</v>
      </c>
      <c r="F608" s="8">
        <v>72.709999999999994</v>
      </c>
      <c r="G608">
        <v>39</v>
      </c>
      <c r="H608">
        <f t="shared" si="50"/>
        <v>13</v>
      </c>
      <c r="I608" s="9">
        <f t="shared" si="51"/>
        <v>15196.39</v>
      </c>
      <c r="J608" s="11">
        <f t="shared" si="52"/>
        <v>0.18660287081339713</v>
      </c>
      <c r="K608" t="str">
        <f t="shared" si="53"/>
        <v>December</v>
      </c>
      <c r="L608" t="str">
        <f t="shared" si="54"/>
        <v>2023</v>
      </c>
    </row>
    <row r="609" spans="1:12" x14ac:dyDescent="0.3">
      <c r="A609" t="s">
        <v>48</v>
      </c>
      <c r="B609" s="1">
        <v>45151</v>
      </c>
      <c r="C609" s="1">
        <v>45161</v>
      </c>
      <c r="D609" t="s">
        <v>12</v>
      </c>
      <c r="E609">
        <v>901</v>
      </c>
      <c r="F609" s="8">
        <v>108.63</v>
      </c>
      <c r="G609">
        <v>141</v>
      </c>
      <c r="H609">
        <f t="shared" si="50"/>
        <v>10</v>
      </c>
      <c r="I609" s="9">
        <f t="shared" si="51"/>
        <v>97875.62999999999</v>
      </c>
      <c r="J609" s="11">
        <f t="shared" si="52"/>
        <v>0.15649278579356271</v>
      </c>
      <c r="K609" t="str">
        <f t="shared" si="53"/>
        <v>August</v>
      </c>
      <c r="L609" t="str">
        <f t="shared" si="54"/>
        <v>2023</v>
      </c>
    </row>
    <row r="610" spans="1:12" x14ac:dyDescent="0.3">
      <c r="A610" t="s">
        <v>50</v>
      </c>
      <c r="B610" s="1">
        <v>44951</v>
      </c>
      <c r="C610" s="1">
        <v>44959</v>
      </c>
      <c r="D610" t="s">
        <v>13</v>
      </c>
      <c r="E610">
        <v>1755</v>
      </c>
      <c r="F610" s="8">
        <v>63.87</v>
      </c>
      <c r="G610">
        <v>85</v>
      </c>
      <c r="H610">
        <f t="shared" si="50"/>
        <v>8</v>
      </c>
      <c r="I610" s="9">
        <f t="shared" si="51"/>
        <v>112091.84999999999</v>
      </c>
      <c r="J610" s="11">
        <f t="shared" si="52"/>
        <v>4.843304843304843E-2</v>
      </c>
      <c r="K610" t="str">
        <f t="shared" si="53"/>
        <v>January</v>
      </c>
      <c r="L610" t="str">
        <f t="shared" si="54"/>
        <v>2023</v>
      </c>
    </row>
    <row r="611" spans="1:12" x14ac:dyDescent="0.3">
      <c r="A611" t="s">
        <v>47</v>
      </c>
      <c r="B611" s="1">
        <v>45050</v>
      </c>
      <c r="C611" s="1">
        <v>45068</v>
      </c>
      <c r="D611" t="s">
        <v>12</v>
      </c>
      <c r="E611">
        <v>1981</v>
      </c>
      <c r="F611" s="8">
        <v>102.43</v>
      </c>
      <c r="G611">
        <v>204</v>
      </c>
      <c r="H611">
        <f t="shared" si="50"/>
        <v>18</v>
      </c>
      <c r="I611" s="9">
        <f t="shared" si="51"/>
        <v>202913.83000000002</v>
      </c>
      <c r="J611" s="11">
        <f t="shared" si="52"/>
        <v>0.10297829379101464</v>
      </c>
      <c r="K611" t="str">
        <f t="shared" si="53"/>
        <v>May</v>
      </c>
      <c r="L611" t="str">
        <f t="shared" si="54"/>
        <v>2023</v>
      </c>
    </row>
    <row r="612" spans="1:12" x14ac:dyDescent="0.3">
      <c r="A612" t="s">
        <v>50</v>
      </c>
      <c r="B612" s="1">
        <v>44950</v>
      </c>
      <c r="C612" s="1">
        <v>44968</v>
      </c>
      <c r="D612" t="s">
        <v>13</v>
      </c>
      <c r="E612">
        <v>1179</v>
      </c>
      <c r="F612" s="8">
        <v>61.74</v>
      </c>
      <c r="G612">
        <v>0</v>
      </c>
      <c r="H612">
        <f t="shared" si="50"/>
        <v>18</v>
      </c>
      <c r="I612" s="9">
        <f t="shared" si="51"/>
        <v>72791.460000000006</v>
      </c>
      <c r="J612" s="11">
        <f t="shared" si="52"/>
        <v>0</v>
      </c>
      <c r="K612" t="str">
        <f t="shared" si="53"/>
        <v>January</v>
      </c>
      <c r="L612" t="str">
        <f t="shared" si="54"/>
        <v>2023</v>
      </c>
    </row>
    <row r="613" spans="1:12" x14ac:dyDescent="0.3">
      <c r="A613" t="s">
        <v>47</v>
      </c>
      <c r="B613" s="1">
        <v>44922</v>
      </c>
      <c r="C613" s="1">
        <v>44923</v>
      </c>
      <c r="D613" t="s">
        <v>12</v>
      </c>
      <c r="E613">
        <v>1748</v>
      </c>
      <c r="F613" s="8">
        <v>68.25</v>
      </c>
      <c r="G613">
        <v>171</v>
      </c>
      <c r="H613">
        <f t="shared" si="50"/>
        <v>1</v>
      </c>
      <c r="I613" s="9">
        <f t="shared" si="51"/>
        <v>119301</v>
      </c>
      <c r="J613" s="11">
        <f t="shared" si="52"/>
        <v>9.7826086956521743E-2</v>
      </c>
      <c r="K613" t="str">
        <f t="shared" si="53"/>
        <v>December</v>
      </c>
      <c r="L613" t="str">
        <f t="shared" si="54"/>
        <v>2022</v>
      </c>
    </row>
    <row r="614" spans="1:12" x14ac:dyDescent="0.3">
      <c r="A614" t="s">
        <v>48</v>
      </c>
      <c r="B614" s="1">
        <v>44867</v>
      </c>
      <c r="C614" s="1">
        <v>44871</v>
      </c>
      <c r="D614" t="s">
        <v>9</v>
      </c>
      <c r="E614">
        <v>429</v>
      </c>
      <c r="F614" s="8">
        <v>58.95</v>
      </c>
      <c r="G614">
        <v>59</v>
      </c>
      <c r="H614">
        <f t="shared" si="50"/>
        <v>4</v>
      </c>
      <c r="I614" s="9">
        <f t="shared" si="51"/>
        <v>25289.550000000003</v>
      </c>
      <c r="J614" s="11">
        <f t="shared" si="52"/>
        <v>0.13752913752913754</v>
      </c>
      <c r="K614" t="str">
        <f t="shared" si="53"/>
        <v>November</v>
      </c>
      <c r="L614" t="str">
        <f t="shared" si="54"/>
        <v>2022</v>
      </c>
    </row>
    <row r="615" spans="1:12" x14ac:dyDescent="0.3">
      <c r="A615" t="s">
        <v>47</v>
      </c>
      <c r="B615" s="1">
        <v>44991</v>
      </c>
      <c r="C615" s="1">
        <v>44992</v>
      </c>
      <c r="D615" t="s">
        <v>11</v>
      </c>
      <c r="E615">
        <v>1006</v>
      </c>
      <c r="F615" s="8">
        <v>27.7</v>
      </c>
      <c r="G615">
        <v>101</v>
      </c>
      <c r="H615">
        <f t="shared" si="50"/>
        <v>1</v>
      </c>
      <c r="I615" s="9">
        <f t="shared" si="51"/>
        <v>27866.2</v>
      </c>
      <c r="J615" s="11">
        <f t="shared" si="52"/>
        <v>0.10039761431411531</v>
      </c>
      <c r="K615" t="str">
        <f t="shared" si="53"/>
        <v>March</v>
      </c>
      <c r="L615" t="str">
        <f t="shared" si="54"/>
        <v>2023</v>
      </c>
    </row>
    <row r="616" spans="1:12" x14ac:dyDescent="0.3">
      <c r="A616" t="s">
        <v>47</v>
      </c>
      <c r="B616" s="1">
        <v>45113</v>
      </c>
      <c r="C616" s="1">
        <v>45122</v>
      </c>
      <c r="D616" t="s">
        <v>13</v>
      </c>
      <c r="E616">
        <v>740</v>
      </c>
      <c r="F616" s="8">
        <v>32.53</v>
      </c>
      <c r="G616">
        <v>84</v>
      </c>
      <c r="H616">
        <f t="shared" si="50"/>
        <v>9</v>
      </c>
      <c r="I616" s="9">
        <f t="shared" si="51"/>
        <v>24072.2</v>
      </c>
      <c r="J616" s="11">
        <f t="shared" si="52"/>
        <v>0.11351351351351352</v>
      </c>
      <c r="K616" t="str">
        <f t="shared" si="53"/>
        <v>July</v>
      </c>
      <c r="L616" t="str">
        <f t="shared" si="54"/>
        <v>2023</v>
      </c>
    </row>
    <row r="617" spans="1:12" x14ac:dyDescent="0.3">
      <c r="A617" t="s">
        <v>48</v>
      </c>
      <c r="B617" s="1">
        <v>45179</v>
      </c>
      <c r="C617" s="1">
        <v>45198</v>
      </c>
      <c r="D617" t="s">
        <v>9</v>
      </c>
      <c r="E617">
        <v>1686</v>
      </c>
      <c r="F617" s="8">
        <v>88.18</v>
      </c>
      <c r="G617">
        <v>0</v>
      </c>
      <c r="H617">
        <f t="shared" si="50"/>
        <v>19</v>
      </c>
      <c r="I617" s="9">
        <f t="shared" si="51"/>
        <v>148671.48000000001</v>
      </c>
      <c r="J617" s="11">
        <f t="shared" si="52"/>
        <v>0</v>
      </c>
      <c r="K617" t="str">
        <f t="shared" si="53"/>
        <v>September</v>
      </c>
      <c r="L617" t="str">
        <f t="shared" si="54"/>
        <v>2023</v>
      </c>
    </row>
    <row r="618" spans="1:12" x14ac:dyDescent="0.3">
      <c r="A618" t="s">
        <v>49</v>
      </c>
      <c r="B618" s="1">
        <v>44787</v>
      </c>
      <c r="C618" s="1">
        <v>44789</v>
      </c>
      <c r="D618" t="s">
        <v>12</v>
      </c>
      <c r="E618">
        <v>1341</v>
      </c>
      <c r="F618" s="8">
        <v>42.96</v>
      </c>
      <c r="G618">
        <v>39</v>
      </c>
      <c r="H618">
        <f t="shared" si="50"/>
        <v>2</v>
      </c>
      <c r="I618" s="9">
        <f t="shared" si="51"/>
        <v>57609.36</v>
      </c>
      <c r="J618" s="11">
        <f t="shared" si="52"/>
        <v>2.9082774049217001E-2</v>
      </c>
      <c r="K618" t="str">
        <f t="shared" si="53"/>
        <v>August</v>
      </c>
      <c r="L618" t="str">
        <f t="shared" si="54"/>
        <v>2022</v>
      </c>
    </row>
    <row r="619" spans="1:12" x14ac:dyDescent="0.3">
      <c r="A619" t="s">
        <v>46</v>
      </c>
      <c r="B619" s="1">
        <v>45061</v>
      </c>
      <c r="C619" s="1">
        <v>45067</v>
      </c>
      <c r="D619" t="s">
        <v>10</v>
      </c>
      <c r="E619">
        <v>1908</v>
      </c>
      <c r="F619" s="8">
        <v>16.420000000000002</v>
      </c>
      <c r="G619">
        <v>36</v>
      </c>
      <c r="H619">
        <f t="shared" si="50"/>
        <v>6</v>
      </c>
      <c r="I619" s="9">
        <f t="shared" si="51"/>
        <v>31329.360000000004</v>
      </c>
      <c r="J619" s="11">
        <f t="shared" si="52"/>
        <v>1.8867924528301886E-2</v>
      </c>
      <c r="K619" t="str">
        <f t="shared" si="53"/>
        <v>May</v>
      </c>
      <c r="L619" t="str">
        <f t="shared" si="54"/>
        <v>2023</v>
      </c>
    </row>
    <row r="620" spans="1:12" x14ac:dyDescent="0.3">
      <c r="A620" t="s">
        <v>50</v>
      </c>
      <c r="B620" s="1">
        <v>44786</v>
      </c>
      <c r="C620" s="1">
        <v>44806</v>
      </c>
      <c r="D620" t="s">
        <v>10</v>
      </c>
      <c r="E620">
        <v>1650</v>
      </c>
      <c r="F620" s="8">
        <v>100.62</v>
      </c>
      <c r="G620">
        <v>85</v>
      </c>
      <c r="H620">
        <f t="shared" si="50"/>
        <v>20</v>
      </c>
      <c r="I620" s="9">
        <f t="shared" si="51"/>
        <v>166023</v>
      </c>
      <c r="J620" s="11">
        <f t="shared" si="52"/>
        <v>5.1515151515151514E-2</v>
      </c>
      <c r="K620" t="str">
        <f t="shared" si="53"/>
        <v>August</v>
      </c>
      <c r="L620" t="str">
        <f t="shared" si="54"/>
        <v>2022</v>
      </c>
    </row>
    <row r="621" spans="1:12" x14ac:dyDescent="0.3">
      <c r="A621" t="s">
        <v>46</v>
      </c>
      <c r="B621" s="1">
        <v>44841</v>
      </c>
      <c r="C621" s="1">
        <v>44854</v>
      </c>
      <c r="D621" t="s">
        <v>10</v>
      </c>
      <c r="E621">
        <v>1490</v>
      </c>
      <c r="F621" s="8">
        <v>93.57</v>
      </c>
      <c r="G621">
        <v>29</v>
      </c>
      <c r="H621">
        <f t="shared" si="50"/>
        <v>13</v>
      </c>
      <c r="I621" s="9">
        <f t="shared" si="51"/>
        <v>139419.29999999999</v>
      </c>
      <c r="J621" s="11">
        <f t="shared" si="52"/>
        <v>1.9463087248322148E-2</v>
      </c>
      <c r="K621" t="str">
        <f t="shared" si="53"/>
        <v>October</v>
      </c>
      <c r="L621" t="str">
        <f t="shared" si="54"/>
        <v>2022</v>
      </c>
    </row>
    <row r="622" spans="1:12" x14ac:dyDescent="0.3">
      <c r="A622" t="s">
        <v>48</v>
      </c>
      <c r="B622" s="1">
        <v>45008</v>
      </c>
      <c r="C622" s="1">
        <v>45016</v>
      </c>
      <c r="D622" t="s">
        <v>12</v>
      </c>
      <c r="E622">
        <v>1241</v>
      </c>
      <c r="F622" s="8">
        <v>100.04</v>
      </c>
      <c r="G622">
        <v>187</v>
      </c>
      <c r="H622">
        <f t="shared" si="50"/>
        <v>8</v>
      </c>
      <c r="I622" s="9">
        <f t="shared" si="51"/>
        <v>124149.64000000001</v>
      </c>
      <c r="J622" s="11">
        <f t="shared" si="52"/>
        <v>0.15068493150684931</v>
      </c>
      <c r="K622" t="str">
        <f t="shared" si="53"/>
        <v>March</v>
      </c>
      <c r="L622" t="str">
        <f t="shared" si="54"/>
        <v>2023</v>
      </c>
    </row>
    <row r="623" spans="1:12" x14ac:dyDescent="0.3">
      <c r="A623" t="s">
        <v>47</v>
      </c>
      <c r="B623" s="1">
        <v>45059</v>
      </c>
      <c r="C623" s="1">
        <v>45063</v>
      </c>
      <c r="D623" t="s">
        <v>10</v>
      </c>
      <c r="E623">
        <v>1915</v>
      </c>
      <c r="F623" s="8">
        <v>107.51</v>
      </c>
      <c r="G623">
        <v>184</v>
      </c>
      <c r="H623">
        <f t="shared" si="50"/>
        <v>4</v>
      </c>
      <c r="I623" s="9">
        <f t="shared" si="51"/>
        <v>205881.65000000002</v>
      </c>
      <c r="J623" s="11">
        <f t="shared" si="52"/>
        <v>9.608355091383812E-2</v>
      </c>
      <c r="K623" t="str">
        <f t="shared" si="53"/>
        <v>May</v>
      </c>
      <c r="L623" t="str">
        <f t="shared" si="54"/>
        <v>2023</v>
      </c>
    </row>
    <row r="624" spans="1:12" x14ac:dyDescent="0.3">
      <c r="A624" t="s">
        <v>50</v>
      </c>
      <c r="B624" s="1">
        <v>44956</v>
      </c>
      <c r="C624" s="1">
        <v>44966</v>
      </c>
      <c r="D624" t="s">
        <v>13</v>
      </c>
      <c r="E624">
        <v>642</v>
      </c>
      <c r="F624" s="8">
        <v>91.9</v>
      </c>
      <c r="G624">
        <v>26</v>
      </c>
      <c r="H624">
        <f t="shared" si="50"/>
        <v>10</v>
      </c>
      <c r="I624" s="9">
        <f t="shared" si="51"/>
        <v>58999.8</v>
      </c>
      <c r="J624" s="11">
        <f t="shared" si="52"/>
        <v>4.0498442367601244E-2</v>
      </c>
      <c r="K624" t="str">
        <f t="shared" si="53"/>
        <v>January</v>
      </c>
      <c r="L624" t="str">
        <f t="shared" si="54"/>
        <v>2023</v>
      </c>
    </row>
    <row r="625" spans="1:12" x14ac:dyDescent="0.3">
      <c r="A625" t="s">
        <v>48</v>
      </c>
      <c r="B625" s="1">
        <v>44960</v>
      </c>
      <c r="C625" s="1">
        <v>44965</v>
      </c>
      <c r="D625" t="s">
        <v>12</v>
      </c>
      <c r="E625">
        <v>1629</v>
      </c>
      <c r="F625" s="8">
        <v>48.63</v>
      </c>
      <c r="G625">
        <v>260</v>
      </c>
      <c r="H625">
        <f t="shared" si="50"/>
        <v>5</v>
      </c>
      <c r="I625" s="9">
        <f t="shared" si="51"/>
        <v>79218.27</v>
      </c>
      <c r="J625" s="11">
        <f t="shared" si="52"/>
        <v>0.15960712093308779</v>
      </c>
      <c r="K625" t="str">
        <f t="shared" si="53"/>
        <v>February</v>
      </c>
      <c r="L625" t="str">
        <f t="shared" si="54"/>
        <v>2023</v>
      </c>
    </row>
    <row r="626" spans="1:12" x14ac:dyDescent="0.3">
      <c r="A626" t="s">
        <v>49</v>
      </c>
      <c r="B626" s="1">
        <v>44906</v>
      </c>
      <c r="C626" s="1">
        <v>44913</v>
      </c>
      <c r="D626" t="s">
        <v>9</v>
      </c>
      <c r="E626">
        <v>334</v>
      </c>
      <c r="F626" s="8">
        <v>82.54</v>
      </c>
      <c r="G626">
        <v>0</v>
      </c>
      <c r="H626">
        <f t="shared" si="50"/>
        <v>7</v>
      </c>
      <c r="I626" s="9">
        <f t="shared" si="51"/>
        <v>27568.36</v>
      </c>
      <c r="J626" s="11">
        <f t="shared" si="52"/>
        <v>0</v>
      </c>
      <c r="K626" t="str">
        <f t="shared" si="53"/>
        <v>December</v>
      </c>
      <c r="L626" t="str">
        <f t="shared" si="54"/>
        <v>2022</v>
      </c>
    </row>
    <row r="627" spans="1:12" x14ac:dyDescent="0.3">
      <c r="A627" t="s">
        <v>49</v>
      </c>
      <c r="B627" s="1">
        <v>45246</v>
      </c>
      <c r="C627" s="1">
        <v>45266</v>
      </c>
      <c r="D627" t="s">
        <v>11</v>
      </c>
      <c r="E627">
        <v>446</v>
      </c>
      <c r="F627" s="8">
        <v>80.63</v>
      </c>
      <c r="G627">
        <v>0</v>
      </c>
      <c r="H627">
        <f t="shared" si="50"/>
        <v>20</v>
      </c>
      <c r="I627" s="9">
        <f t="shared" si="51"/>
        <v>35960.979999999996</v>
      </c>
      <c r="J627" s="11">
        <f t="shared" si="52"/>
        <v>0</v>
      </c>
      <c r="K627" t="str">
        <f t="shared" si="53"/>
        <v>November</v>
      </c>
      <c r="L627" t="str">
        <f t="shared" si="54"/>
        <v>2023</v>
      </c>
    </row>
    <row r="628" spans="1:12" x14ac:dyDescent="0.3">
      <c r="A628" t="s">
        <v>48</v>
      </c>
      <c r="B628" s="1">
        <v>44976</v>
      </c>
      <c r="C628" s="1">
        <v>44978</v>
      </c>
      <c r="D628" t="s">
        <v>11</v>
      </c>
      <c r="E628">
        <v>1680</v>
      </c>
      <c r="F628" s="8">
        <v>88.85</v>
      </c>
      <c r="G628">
        <v>0</v>
      </c>
      <c r="H628">
        <f t="shared" si="50"/>
        <v>2</v>
      </c>
      <c r="I628" s="9">
        <f t="shared" si="51"/>
        <v>149268</v>
      </c>
      <c r="J628" s="11">
        <f t="shared" si="52"/>
        <v>0</v>
      </c>
      <c r="K628" t="str">
        <f t="shared" si="53"/>
        <v>February</v>
      </c>
      <c r="L628" t="str">
        <f t="shared" si="54"/>
        <v>2023</v>
      </c>
    </row>
    <row r="629" spans="1:12" x14ac:dyDescent="0.3">
      <c r="A629" t="s">
        <v>48</v>
      </c>
      <c r="B629" s="1">
        <v>44731</v>
      </c>
      <c r="C629" s="1">
        <v>44748</v>
      </c>
      <c r="D629" t="s">
        <v>13</v>
      </c>
      <c r="E629">
        <v>1375</v>
      </c>
      <c r="F629" s="8">
        <v>30.95</v>
      </c>
      <c r="G629">
        <v>223</v>
      </c>
      <c r="H629">
        <f t="shared" si="50"/>
        <v>17</v>
      </c>
      <c r="I629" s="9">
        <f t="shared" si="51"/>
        <v>42556.25</v>
      </c>
      <c r="J629" s="11">
        <f t="shared" si="52"/>
        <v>0.16218181818181818</v>
      </c>
      <c r="K629" t="str">
        <f t="shared" si="53"/>
        <v>June</v>
      </c>
      <c r="L629" t="str">
        <f t="shared" si="54"/>
        <v>2022</v>
      </c>
    </row>
    <row r="630" spans="1:12" x14ac:dyDescent="0.3">
      <c r="A630" t="s">
        <v>48</v>
      </c>
      <c r="B630" s="1">
        <v>45040</v>
      </c>
      <c r="C630" s="1">
        <v>45051</v>
      </c>
      <c r="D630" t="s">
        <v>13</v>
      </c>
      <c r="E630">
        <v>1971</v>
      </c>
      <c r="F630" s="8">
        <v>32.4</v>
      </c>
      <c r="G630">
        <v>321</v>
      </c>
      <c r="H630">
        <f t="shared" si="50"/>
        <v>11</v>
      </c>
      <c r="I630" s="9">
        <f t="shared" si="51"/>
        <v>63860.399999999994</v>
      </c>
      <c r="J630" s="11">
        <f t="shared" si="52"/>
        <v>0.16286149162861491</v>
      </c>
      <c r="K630" t="str">
        <f t="shared" si="53"/>
        <v>April</v>
      </c>
      <c r="L630" t="str">
        <f t="shared" si="54"/>
        <v>2023</v>
      </c>
    </row>
    <row r="631" spans="1:12" x14ac:dyDescent="0.3">
      <c r="A631" t="s">
        <v>48</v>
      </c>
      <c r="B631" s="1">
        <v>45199</v>
      </c>
      <c r="C631" s="1">
        <v>45212</v>
      </c>
      <c r="D631" t="s">
        <v>10</v>
      </c>
      <c r="E631">
        <v>548</v>
      </c>
      <c r="F631" s="8">
        <v>69.7</v>
      </c>
      <c r="G631">
        <v>90</v>
      </c>
      <c r="H631">
        <f t="shared" si="50"/>
        <v>13</v>
      </c>
      <c r="I631" s="9">
        <f t="shared" si="51"/>
        <v>38195.599999999999</v>
      </c>
      <c r="J631" s="11">
        <f t="shared" si="52"/>
        <v>0.16423357664233576</v>
      </c>
      <c r="K631" t="str">
        <f t="shared" si="53"/>
        <v>September</v>
      </c>
      <c r="L631" t="str">
        <f t="shared" si="54"/>
        <v>2023</v>
      </c>
    </row>
    <row r="632" spans="1:12" x14ac:dyDescent="0.3">
      <c r="A632" t="s">
        <v>47</v>
      </c>
      <c r="B632" s="1">
        <v>45108</v>
      </c>
      <c r="C632" s="1">
        <v>45114</v>
      </c>
      <c r="D632" t="s">
        <v>10</v>
      </c>
      <c r="E632">
        <v>803</v>
      </c>
      <c r="F632" s="8">
        <v>67.81</v>
      </c>
      <c r="G632">
        <v>78</v>
      </c>
      <c r="H632">
        <f t="shared" si="50"/>
        <v>6</v>
      </c>
      <c r="I632" s="9">
        <f t="shared" si="51"/>
        <v>54451.43</v>
      </c>
      <c r="J632" s="11">
        <f t="shared" si="52"/>
        <v>9.7135740971357409E-2</v>
      </c>
      <c r="K632" t="str">
        <f t="shared" si="53"/>
        <v>July</v>
      </c>
      <c r="L632" t="str">
        <f t="shared" si="54"/>
        <v>2023</v>
      </c>
    </row>
    <row r="633" spans="1:12" x14ac:dyDescent="0.3">
      <c r="A633" t="s">
        <v>50</v>
      </c>
      <c r="B633" s="1">
        <v>44565</v>
      </c>
      <c r="C633" s="1">
        <v>44573</v>
      </c>
      <c r="D633" t="s">
        <v>11</v>
      </c>
      <c r="E633">
        <v>456</v>
      </c>
      <c r="F633" s="8">
        <v>80.53</v>
      </c>
      <c r="G633">
        <v>26</v>
      </c>
      <c r="H633">
        <f t="shared" si="50"/>
        <v>8</v>
      </c>
      <c r="I633" s="9">
        <f t="shared" si="51"/>
        <v>36721.68</v>
      </c>
      <c r="J633" s="11">
        <f t="shared" si="52"/>
        <v>5.701754385964912E-2</v>
      </c>
      <c r="K633" t="str">
        <f t="shared" si="53"/>
        <v>January</v>
      </c>
      <c r="L633" t="str">
        <f t="shared" si="54"/>
        <v>2022</v>
      </c>
    </row>
    <row r="634" spans="1:12" x14ac:dyDescent="0.3">
      <c r="A634" t="s">
        <v>49</v>
      </c>
      <c r="B634" s="1">
        <v>44965</v>
      </c>
      <c r="C634" s="1">
        <v>44977</v>
      </c>
      <c r="D634" t="s">
        <v>11</v>
      </c>
      <c r="E634">
        <v>776</v>
      </c>
      <c r="F634" s="8">
        <v>94.75</v>
      </c>
      <c r="G634">
        <v>19</v>
      </c>
      <c r="H634">
        <f t="shared" si="50"/>
        <v>12</v>
      </c>
      <c r="I634" s="9">
        <f t="shared" si="51"/>
        <v>73526</v>
      </c>
      <c r="J634" s="11">
        <f t="shared" si="52"/>
        <v>2.4484536082474227E-2</v>
      </c>
      <c r="K634" t="str">
        <f t="shared" si="53"/>
        <v>February</v>
      </c>
      <c r="L634" t="str">
        <f t="shared" si="54"/>
        <v>2023</v>
      </c>
    </row>
    <row r="635" spans="1:12" x14ac:dyDescent="0.3">
      <c r="A635" t="s">
        <v>46</v>
      </c>
      <c r="B635" s="1">
        <v>45168</v>
      </c>
      <c r="C635" s="1">
        <v>45177</v>
      </c>
      <c r="D635" t="s">
        <v>10</v>
      </c>
      <c r="E635">
        <v>898</v>
      </c>
      <c r="F635" s="8">
        <v>37.119999999999997</v>
      </c>
      <c r="G635">
        <v>18</v>
      </c>
      <c r="H635">
        <f t="shared" si="50"/>
        <v>9</v>
      </c>
      <c r="I635" s="9">
        <f t="shared" si="51"/>
        <v>33333.759999999995</v>
      </c>
      <c r="J635" s="11">
        <f t="shared" si="52"/>
        <v>2.0044543429844099E-2</v>
      </c>
      <c r="K635" t="str">
        <f t="shared" si="53"/>
        <v>August</v>
      </c>
      <c r="L635" t="str">
        <f t="shared" si="54"/>
        <v>2023</v>
      </c>
    </row>
    <row r="636" spans="1:12" x14ac:dyDescent="0.3">
      <c r="A636" t="s">
        <v>47</v>
      </c>
      <c r="B636" s="1">
        <v>45139</v>
      </c>
      <c r="C636" s="1">
        <v>45146</v>
      </c>
      <c r="D636" t="s">
        <v>9</v>
      </c>
      <c r="E636">
        <v>139</v>
      </c>
      <c r="F636" s="8">
        <v>23.71</v>
      </c>
      <c r="G636">
        <v>14</v>
      </c>
      <c r="H636">
        <f t="shared" si="50"/>
        <v>7</v>
      </c>
      <c r="I636" s="9">
        <f t="shared" si="51"/>
        <v>3295.69</v>
      </c>
      <c r="J636" s="11">
        <f t="shared" si="52"/>
        <v>0.10071942446043165</v>
      </c>
      <c r="K636" t="str">
        <f t="shared" si="53"/>
        <v>August</v>
      </c>
      <c r="L636" t="str">
        <f t="shared" si="54"/>
        <v>2023</v>
      </c>
    </row>
    <row r="637" spans="1:12" x14ac:dyDescent="0.3">
      <c r="A637" t="s">
        <v>50</v>
      </c>
      <c r="B637" s="1">
        <v>44583</v>
      </c>
      <c r="C637" s="1">
        <v>44585</v>
      </c>
      <c r="D637" t="s">
        <v>12</v>
      </c>
      <c r="E637">
        <v>1693</v>
      </c>
      <c r="F637" s="8">
        <v>57.89</v>
      </c>
      <c r="G637">
        <v>88</v>
      </c>
      <c r="H637">
        <f t="shared" si="50"/>
        <v>2</v>
      </c>
      <c r="I637" s="9">
        <f t="shared" si="51"/>
        <v>98007.77</v>
      </c>
      <c r="J637" s="11">
        <f t="shared" si="52"/>
        <v>5.1978735971647962E-2</v>
      </c>
      <c r="K637" t="str">
        <f t="shared" si="53"/>
        <v>January</v>
      </c>
      <c r="L637" t="str">
        <f t="shared" si="54"/>
        <v>2022</v>
      </c>
    </row>
    <row r="638" spans="1:12" x14ac:dyDescent="0.3">
      <c r="A638" t="s">
        <v>50</v>
      </c>
      <c r="B638" s="1">
        <v>44647</v>
      </c>
      <c r="C638" s="1">
        <v>44657</v>
      </c>
      <c r="D638" t="s">
        <v>10</v>
      </c>
      <c r="E638">
        <v>1995</v>
      </c>
      <c r="F638" s="8">
        <v>88.47</v>
      </c>
      <c r="G638">
        <v>87</v>
      </c>
      <c r="H638">
        <f t="shared" si="50"/>
        <v>10</v>
      </c>
      <c r="I638" s="9">
        <f t="shared" si="51"/>
        <v>176497.65</v>
      </c>
      <c r="J638" s="11">
        <f t="shared" si="52"/>
        <v>4.3609022556390979E-2</v>
      </c>
      <c r="K638" t="str">
        <f t="shared" si="53"/>
        <v>March</v>
      </c>
      <c r="L638" t="str">
        <f t="shared" si="54"/>
        <v>2022</v>
      </c>
    </row>
    <row r="639" spans="1:12" x14ac:dyDescent="0.3">
      <c r="A639" t="s">
        <v>47</v>
      </c>
      <c r="B639" s="1">
        <v>45220</v>
      </c>
      <c r="C639" s="1">
        <v>45227</v>
      </c>
      <c r="D639" t="s">
        <v>10</v>
      </c>
      <c r="E639">
        <v>1019</v>
      </c>
      <c r="F639" s="8">
        <v>91.56</v>
      </c>
      <c r="G639">
        <v>111</v>
      </c>
      <c r="H639">
        <f t="shared" si="50"/>
        <v>7</v>
      </c>
      <c r="I639" s="9">
        <f t="shared" si="51"/>
        <v>93299.64</v>
      </c>
      <c r="J639" s="11">
        <f t="shared" si="52"/>
        <v>0.10893032384690873</v>
      </c>
      <c r="K639" t="str">
        <f t="shared" si="53"/>
        <v>October</v>
      </c>
      <c r="L639" t="str">
        <f t="shared" si="54"/>
        <v>2023</v>
      </c>
    </row>
    <row r="640" spans="1:12" x14ac:dyDescent="0.3">
      <c r="A640" t="s">
        <v>49</v>
      </c>
      <c r="B640" s="1">
        <v>45000</v>
      </c>
      <c r="C640" s="1">
        <v>45016</v>
      </c>
      <c r="D640" t="s">
        <v>11</v>
      </c>
      <c r="E640">
        <v>1675</v>
      </c>
      <c r="F640" s="8">
        <v>73.8</v>
      </c>
      <c r="G640">
        <v>42</v>
      </c>
      <c r="H640">
        <f t="shared" si="50"/>
        <v>16</v>
      </c>
      <c r="I640" s="9">
        <f t="shared" si="51"/>
        <v>123615</v>
      </c>
      <c r="J640" s="11">
        <f t="shared" si="52"/>
        <v>2.5074626865671641E-2</v>
      </c>
      <c r="K640" t="str">
        <f t="shared" si="53"/>
        <v>March</v>
      </c>
      <c r="L640" t="str">
        <f t="shared" si="54"/>
        <v>2023</v>
      </c>
    </row>
    <row r="641" spans="1:12" x14ac:dyDescent="0.3">
      <c r="A641" t="s">
        <v>50</v>
      </c>
      <c r="B641" s="1">
        <v>44700</v>
      </c>
      <c r="C641" s="1">
        <v>44712</v>
      </c>
      <c r="D641" t="s">
        <v>12</v>
      </c>
      <c r="E641">
        <v>1071</v>
      </c>
      <c r="F641" s="8">
        <v>60.77</v>
      </c>
      <c r="G641">
        <v>0</v>
      </c>
      <c r="H641">
        <f t="shared" si="50"/>
        <v>12</v>
      </c>
      <c r="I641" s="9">
        <f t="shared" si="51"/>
        <v>65084.670000000006</v>
      </c>
      <c r="J641" s="11">
        <f t="shared" si="52"/>
        <v>0</v>
      </c>
      <c r="K641" t="str">
        <f t="shared" si="53"/>
        <v>May</v>
      </c>
      <c r="L641" t="str">
        <f t="shared" si="54"/>
        <v>2022</v>
      </c>
    </row>
    <row r="642" spans="1:12" x14ac:dyDescent="0.3">
      <c r="A642" t="s">
        <v>47</v>
      </c>
      <c r="B642" s="1">
        <v>45034</v>
      </c>
      <c r="C642" s="1">
        <v>45043</v>
      </c>
      <c r="D642" t="s">
        <v>9</v>
      </c>
      <c r="E642">
        <v>467</v>
      </c>
      <c r="F642" s="8">
        <v>19.170000000000002</v>
      </c>
      <c r="G642">
        <v>49</v>
      </c>
      <c r="H642">
        <f t="shared" si="50"/>
        <v>9</v>
      </c>
      <c r="I642" s="9">
        <f t="shared" si="51"/>
        <v>8952.3900000000012</v>
      </c>
      <c r="J642" s="11">
        <f t="shared" si="52"/>
        <v>0.10492505353319058</v>
      </c>
      <c r="K642" t="str">
        <f t="shared" si="53"/>
        <v>April</v>
      </c>
      <c r="L642" t="str">
        <f t="shared" si="54"/>
        <v>2023</v>
      </c>
    </row>
    <row r="643" spans="1:12" x14ac:dyDescent="0.3">
      <c r="A643" t="s">
        <v>48</v>
      </c>
      <c r="B643" s="1">
        <v>44748</v>
      </c>
      <c r="C643" s="1">
        <v>44767</v>
      </c>
      <c r="D643" t="s">
        <v>10</v>
      </c>
      <c r="E643">
        <v>164</v>
      </c>
      <c r="F643" s="8">
        <v>48.16</v>
      </c>
      <c r="G643">
        <v>27</v>
      </c>
      <c r="H643">
        <f t="shared" si="50"/>
        <v>19</v>
      </c>
      <c r="I643" s="9">
        <f t="shared" si="51"/>
        <v>7898.24</v>
      </c>
      <c r="J643" s="11">
        <f t="shared" si="52"/>
        <v>0.16463414634146342</v>
      </c>
      <c r="K643" t="str">
        <f t="shared" si="53"/>
        <v>July</v>
      </c>
      <c r="L643" t="str">
        <f t="shared" si="54"/>
        <v>2022</v>
      </c>
    </row>
    <row r="644" spans="1:12" x14ac:dyDescent="0.3">
      <c r="A644" t="s">
        <v>49</v>
      </c>
      <c r="B644" s="1">
        <v>44613</v>
      </c>
      <c r="C644" s="1">
        <v>44626</v>
      </c>
      <c r="D644" t="s">
        <v>13</v>
      </c>
      <c r="E644">
        <v>666</v>
      </c>
      <c r="F644" s="8">
        <v>43.76</v>
      </c>
      <c r="G644">
        <v>18</v>
      </c>
      <c r="H644">
        <f t="shared" ref="H644:H687" si="55" xml:space="preserve"> C644-B644</f>
        <v>13</v>
      </c>
      <c r="I644" s="9">
        <f t="shared" ref="I644:I687" si="56">F644*E644</f>
        <v>29144.16</v>
      </c>
      <c r="J644" s="11">
        <f t="shared" ref="J644:J687" si="57">(G644/E644)</f>
        <v>2.7027027027027029E-2</v>
      </c>
      <c r="K644" t="str">
        <f t="shared" ref="K644:K687" si="58">TEXT(B644,"mmmm")</f>
        <v>February</v>
      </c>
      <c r="L644" t="str">
        <f t="shared" ref="L644:L687" si="59">TEXT(B644,"yyyy")</f>
        <v>2022</v>
      </c>
    </row>
    <row r="645" spans="1:12" x14ac:dyDescent="0.3">
      <c r="A645" t="s">
        <v>48</v>
      </c>
      <c r="B645" s="1">
        <v>44828</v>
      </c>
      <c r="C645" s="1">
        <v>44841</v>
      </c>
      <c r="D645" t="s">
        <v>11</v>
      </c>
      <c r="E645">
        <v>1976</v>
      </c>
      <c r="F645" s="8">
        <v>34.71</v>
      </c>
      <c r="G645">
        <v>286</v>
      </c>
      <c r="H645">
        <f t="shared" si="55"/>
        <v>13</v>
      </c>
      <c r="I645" s="9">
        <f t="shared" si="56"/>
        <v>68586.960000000006</v>
      </c>
      <c r="J645" s="11">
        <f t="shared" si="57"/>
        <v>0.14473684210526316</v>
      </c>
      <c r="K645" t="str">
        <f t="shared" si="58"/>
        <v>September</v>
      </c>
      <c r="L645" t="str">
        <f t="shared" si="59"/>
        <v>2022</v>
      </c>
    </row>
    <row r="646" spans="1:12" x14ac:dyDescent="0.3">
      <c r="A646" t="s">
        <v>50</v>
      </c>
      <c r="B646" s="1">
        <v>44569</v>
      </c>
      <c r="C646" s="1">
        <v>44574</v>
      </c>
      <c r="D646" t="s">
        <v>13</v>
      </c>
      <c r="E646">
        <v>1579</v>
      </c>
      <c r="F646" s="8">
        <v>43.96</v>
      </c>
      <c r="G646">
        <v>74</v>
      </c>
      <c r="H646">
        <f t="shared" si="55"/>
        <v>5</v>
      </c>
      <c r="I646" s="9">
        <f t="shared" si="56"/>
        <v>69412.84</v>
      </c>
      <c r="J646" s="11">
        <f t="shared" si="57"/>
        <v>4.6865104496516784E-2</v>
      </c>
      <c r="K646" t="str">
        <f t="shared" si="58"/>
        <v>January</v>
      </c>
      <c r="L646" t="str">
        <f t="shared" si="59"/>
        <v>2022</v>
      </c>
    </row>
    <row r="647" spans="1:12" x14ac:dyDescent="0.3">
      <c r="A647" t="s">
        <v>49</v>
      </c>
      <c r="B647" s="1">
        <v>44897</v>
      </c>
      <c r="C647" s="1">
        <v>44907</v>
      </c>
      <c r="D647" t="s">
        <v>10</v>
      </c>
      <c r="E647">
        <v>875</v>
      </c>
      <c r="F647" s="8">
        <v>57.63</v>
      </c>
      <c r="G647">
        <v>16</v>
      </c>
      <c r="H647">
        <f t="shared" si="55"/>
        <v>10</v>
      </c>
      <c r="I647" s="9">
        <f t="shared" si="56"/>
        <v>50426.25</v>
      </c>
      <c r="J647" s="11">
        <f t="shared" si="57"/>
        <v>1.8285714285714287E-2</v>
      </c>
      <c r="K647" t="str">
        <f t="shared" si="58"/>
        <v>December</v>
      </c>
      <c r="L647" t="str">
        <f t="shared" si="59"/>
        <v>2022</v>
      </c>
    </row>
    <row r="648" spans="1:12" x14ac:dyDescent="0.3">
      <c r="A648" t="s">
        <v>49</v>
      </c>
      <c r="B648" s="1">
        <v>45027</v>
      </c>
      <c r="C648" s="1">
        <v>45042</v>
      </c>
      <c r="D648" t="s">
        <v>9</v>
      </c>
      <c r="E648">
        <v>1699</v>
      </c>
      <c r="F648" s="8">
        <v>32.049999999999997</v>
      </c>
      <c r="G648">
        <v>69</v>
      </c>
      <c r="H648">
        <f t="shared" si="55"/>
        <v>15</v>
      </c>
      <c r="I648" s="9">
        <f t="shared" si="56"/>
        <v>54452.95</v>
      </c>
      <c r="J648" s="11">
        <f t="shared" si="57"/>
        <v>4.061212477928193E-2</v>
      </c>
      <c r="K648" t="str">
        <f t="shared" si="58"/>
        <v>April</v>
      </c>
      <c r="L648" t="str">
        <f t="shared" si="59"/>
        <v>2023</v>
      </c>
    </row>
    <row r="649" spans="1:12" x14ac:dyDescent="0.3">
      <c r="A649" t="s">
        <v>46</v>
      </c>
      <c r="B649" s="1">
        <v>44896</v>
      </c>
      <c r="C649" s="1">
        <v>44912</v>
      </c>
      <c r="D649" t="s">
        <v>13</v>
      </c>
      <c r="E649">
        <v>1566</v>
      </c>
      <c r="F649" s="8">
        <v>75.430000000000007</v>
      </c>
      <c r="G649">
        <v>27</v>
      </c>
      <c r="H649">
        <f t="shared" si="55"/>
        <v>16</v>
      </c>
      <c r="I649" s="9">
        <f t="shared" si="56"/>
        <v>118123.38</v>
      </c>
      <c r="J649" s="11">
        <f t="shared" si="57"/>
        <v>1.7241379310344827E-2</v>
      </c>
      <c r="K649" t="str">
        <f t="shared" si="58"/>
        <v>December</v>
      </c>
      <c r="L649" t="str">
        <f t="shared" si="59"/>
        <v>2022</v>
      </c>
    </row>
    <row r="650" spans="1:12" x14ac:dyDescent="0.3">
      <c r="A650" t="s">
        <v>50</v>
      </c>
      <c r="B650" s="1">
        <v>44907</v>
      </c>
      <c r="C650" s="1">
        <v>44925</v>
      </c>
      <c r="D650" t="s">
        <v>13</v>
      </c>
      <c r="E650">
        <v>1148</v>
      </c>
      <c r="F650" s="8">
        <v>17.78</v>
      </c>
      <c r="G650">
        <v>61</v>
      </c>
      <c r="H650">
        <f t="shared" si="55"/>
        <v>18</v>
      </c>
      <c r="I650" s="9">
        <f t="shared" si="56"/>
        <v>20411.440000000002</v>
      </c>
      <c r="J650" s="11">
        <f t="shared" si="57"/>
        <v>5.3135888501742161E-2</v>
      </c>
      <c r="K650" t="str">
        <f t="shared" si="58"/>
        <v>December</v>
      </c>
      <c r="L650" t="str">
        <f t="shared" si="59"/>
        <v>2022</v>
      </c>
    </row>
    <row r="651" spans="1:12" x14ac:dyDescent="0.3">
      <c r="A651" t="s">
        <v>50</v>
      </c>
      <c r="B651" s="1">
        <v>44577</v>
      </c>
      <c r="C651" s="1">
        <v>44583</v>
      </c>
      <c r="D651" t="s">
        <v>11</v>
      </c>
      <c r="E651">
        <v>1203</v>
      </c>
      <c r="F651" s="8">
        <v>53.3</v>
      </c>
      <c r="G651">
        <v>49</v>
      </c>
      <c r="H651">
        <f t="shared" si="55"/>
        <v>6</v>
      </c>
      <c r="I651" s="9">
        <f t="shared" si="56"/>
        <v>64119.899999999994</v>
      </c>
      <c r="J651" s="11">
        <f t="shared" si="57"/>
        <v>4.0731504571903575E-2</v>
      </c>
      <c r="K651" t="str">
        <f t="shared" si="58"/>
        <v>January</v>
      </c>
      <c r="L651" t="str">
        <f t="shared" si="59"/>
        <v>2022</v>
      </c>
    </row>
    <row r="652" spans="1:12" x14ac:dyDescent="0.3">
      <c r="A652" t="s">
        <v>50</v>
      </c>
      <c r="B652" s="1">
        <v>44846</v>
      </c>
      <c r="C652" s="1">
        <v>44851</v>
      </c>
      <c r="D652" t="s">
        <v>11</v>
      </c>
      <c r="E652">
        <v>1449</v>
      </c>
      <c r="F652" s="8">
        <v>57.02</v>
      </c>
      <c r="G652">
        <v>71</v>
      </c>
      <c r="H652">
        <f t="shared" si="55"/>
        <v>5</v>
      </c>
      <c r="I652" s="9">
        <f t="shared" si="56"/>
        <v>82621.98000000001</v>
      </c>
      <c r="J652" s="11">
        <f t="shared" si="57"/>
        <v>4.8999309868875088E-2</v>
      </c>
      <c r="K652" t="str">
        <f t="shared" si="58"/>
        <v>October</v>
      </c>
      <c r="L652" t="str">
        <f t="shared" si="59"/>
        <v>2022</v>
      </c>
    </row>
    <row r="653" spans="1:12" x14ac:dyDescent="0.3">
      <c r="A653" t="s">
        <v>49</v>
      </c>
      <c r="B653" s="1">
        <v>44993</v>
      </c>
      <c r="C653" s="1">
        <v>45012</v>
      </c>
      <c r="D653" t="s">
        <v>10</v>
      </c>
      <c r="E653">
        <v>1493</v>
      </c>
      <c r="F653" s="8">
        <v>56.98</v>
      </c>
      <c r="G653">
        <v>43</v>
      </c>
      <c r="H653">
        <f t="shared" si="55"/>
        <v>19</v>
      </c>
      <c r="I653" s="9">
        <f t="shared" si="56"/>
        <v>85071.14</v>
      </c>
      <c r="J653" s="11">
        <f t="shared" si="57"/>
        <v>2.8801071667782986E-2</v>
      </c>
      <c r="K653" t="str">
        <f t="shared" si="58"/>
        <v>March</v>
      </c>
      <c r="L653" t="str">
        <f t="shared" si="59"/>
        <v>2023</v>
      </c>
    </row>
    <row r="654" spans="1:12" x14ac:dyDescent="0.3">
      <c r="A654" t="s">
        <v>46</v>
      </c>
      <c r="B654" s="1">
        <v>44820</v>
      </c>
      <c r="C654" s="1">
        <v>44822</v>
      </c>
      <c r="D654" t="s">
        <v>9</v>
      </c>
      <c r="E654">
        <v>778</v>
      </c>
      <c r="F654" s="8">
        <v>65.849999999999994</v>
      </c>
      <c r="G654">
        <v>0</v>
      </c>
      <c r="H654">
        <f t="shared" si="55"/>
        <v>2</v>
      </c>
      <c r="I654" s="9">
        <f t="shared" si="56"/>
        <v>51231.299999999996</v>
      </c>
      <c r="J654" s="11">
        <f t="shared" si="57"/>
        <v>0</v>
      </c>
      <c r="K654" t="str">
        <f t="shared" si="58"/>
        <v>September</v>
      </c>
      <c r="L654" t="str">
        <f t="shared" si="59"/>
        <v>2022</v>
      </c>
    </row>
    <row r="655" spans="1:12" x14ac:dyDescent="0.3">
      <c r="A655" t="s">
        <v>48</v>
      </c>
      <c r="B655" s="1">
        <v>44645</v>
      </c>
      <c r="C655" s="1">
        <v>44662</v>
      </c>
      <c r="D655" t="s">
        <v>11</v>
      </c>
      <c r="E655">
        <v>1350</v>
      </c>
      <c r="F655" s="8">
        <v>85.06</v>
      </c>
      <c r="G655">
        <v>0</v>
      </c>
      <c r="H655">
        <f t="shared" si="55"/>
        <v>17</v>
      </c>
      <c r="I655" s="9">
        <f t="shared" si="56"/>
        <v>114831</v>
      </c>
      <c r="J655" s="11">
        <f t="shared" si="57"/>
        <v>0</v>
      </c>
      <c r="K655" t="str">
        <f t="shared" si="58"/>
        <v>March</v>
      </c>
      <c r="L655" t="str">
        <f t="shared" si="59"/>
        <v>2022</v>
      </c>
    </row>
    <row r="656" spans="1:12" x14ac:dyDescent="0.3">
      <c r="A656" t="s">
        <v>49</v>
      </c>
      <c r="B656" s="1">
        <v>45043</v>
      </c>
      <c r="C656" s="1">
        <v>45051</v>
      </c>
      <c r="D656" t="s">
        <v>11</v>
      </c>
      <c r="E656">
        <v>1070</v>
      </c>
      <c r="F656" s="8">
        <v>44.4</v>
      </c>
      <c r="G656">
        <v>26</v>
      </c>
      <c r="H656">
        <f t="shared" si="55"/>
        <v>8</v>
      </c>
      <c r="I656" s="9">
        <f t="shared" si="56"/>
        <v>47508</v>
      </c>
      <c r="J656" s="11">
        <f t="shared" si="57"/>
        <v>2.4299065420560748E-2</v>
      </c>
      <c r="K656" t="str">
        <f t="shared" si="58"/>
        <v>April</v>
      </c>
      <c r="L656" t="str">
        <f t="shared" si="59"/>
        <v>2023</v>
      </c>
    </row>
    <row r="657" spans="1:12" x14ac:dyDescent="0.3">
      <c r="A657" t="s">
        <v>50</v>
      </c>
      <c r="B657" s="1">
        <v>44940</v>
      </c>
      <c r="C657" s="1">
        <v>44953</v>
      </c>
      <c r="D657" t="s">
        <v>10</v>
      </c>
      <c r="E657">
        <v>1682</v>
      </c>
      <c r="F657" s="8">
        <v>105.7</v>
      </c>
      <c r="G657">
        <v>94</v>
      </c>
      <c r="H657">
        <f t="shared" si="55"/>
        <v>13</v>
      </c>
      <c r="I657" s="9">
        <f t="shared" si="56"/>
        <v>177787.4</v>
      </c>
      <c r="J657" s="11">
        <f t="shared" si="57"/>
        <v>5.5885850178359099E-2</v>
      </c>
      <c r="K657" t="str">
        <f t="shared" si="58"/>
        <v>January</v>
      </c>
      <c r="L657" t="str">
        <f t="shared" si="59"/>
        <v>2023</v>
      </c>
    </row>
    <row r="658" spans="1:12" x14ac:dyDescent="0.3">
      <c r="A658" t="s">
        <v>48</v>
      </c>
      <c r="B658" s="1">
        <v>45114</v>
      </c>
      <c r="C658" s="1">
        <v>45130</v>
      </c>
      <c r="D658" t="s">
        <v>11</v>
      </c>
      <c r="E658">
        <v>725</v>
      </c>
      <c r="F658" s="8">
        <v>66.400000000000006</v>
      </c>
      <c r="G658">
        <v>118</v>
      </c>
      <c r="H658">
        <f t="shared" si="55"/>
        <v>16</v>
      </c>
      <c r="I658" s="9">
        <f t="shared" si="56"/>
        <v>48140.000000000007</v>
      </c>
      <c r="J658" s="11">
        <f t="shared" si="57"/>
        <v>0.16275862068965516</v>
      </c>
      <c r="K658" t="str">
        <f t="shared" si="58"/>
        <v>July</v>
      </c>
      <c r="L658" t="str">
        <f t="shared" si="59"/>
        <v>2023</v>
      </c>
    </row>
    <row r="659" spans="1:12" x14ac:dyDescent="0.3">
      <c r="A659" t="s">
        <v>46</v>
      </c>
      <c r="B659" s="1">
        <v>44615</v>
      </c>
      <c r="C659" s="1">
        <v>44620</v>
      </c>
      <c r="D659" t="s">
        <v>13</v>
      </c>
      <c r="E659">
        <v>1467</v>
      </c>
      <c r="F659" s="8">
        <v>34.200000000000003</v>
      </c>
      <c r="G659">
        <v>25</v>
      </c>
      <c r="H659">
        <f t="shared" si="55"/>
        <v>5</v>
      </c>
      <c r="I659" s="9">
        <f t="shared" si="56"/>
        <v>50171.4</v>
      </c>
      <c r="J659" s="11">
        <f t="shared" si="57"/>
        <v>1.7041581458759374E-2</v>
      </c>
      <c r="K659" t="str">
        <f t="shared" si="58"/>
        <v>February</v>
      </c>
      <c r="L659" t="str">
        <f t="shared" si="59"/>
        <v>2022</v>
      </c>
    </row>
    <row r="660" spans="1:12" x14ac:dyDescent="0.3">
      <c r="A660" t="s">
        <v>47</v>
      </c>
      <c r="B660" s="1">
        <v>44920</v>
      </c>
      <c r="C660" s="1">
        <v>44938</v>
      </c>
      <c r="D660" t="s">
        <v>11</v>
      </c>
      <c r="E660">
        <v>1942</v>
      </c>
      <c r="F660" s="8">
        <v>93.98</v>
      </c>
      <c r="G660">
        <v>198</v>
      </c>
      <c r="H660">
        <f t="shared" si="55"/>
        <v>18</v>
      </c>
      <c r="I660" s="9">
        <f t="shared" si="56"/>
        <v>182509.16</v>
      </c>
      <c r="J660" s="11">
        <f t="shared" si="57"/>
        <v>0.101956745623069</v>
      </c>
      <c r="K660" t="str">
        <f t="shared" si="58"/>
        <v>December</v>
      </c>
      <c r="L660" t="str">
        <f t="shared" si="59"/>
        <v>2022</v>
      </c>
    </row>
    <row r="661" spans="1:12" x14ac:dyDescent="0.3">
      <c r="A661" t="s">
        <v>46</v>
      </c>
      <c r="B661" s="1">
        <v>45227</v>
      </c>
      <c r="C661" s="1">
        <v>45243</v>
      </c>
      <c r="D661" t="s">
        <v>10</v>
      </c>
      <c r="E661">
        <v>969</v>
      </c>
      <c r="F661" s="8">
        <v>76.53</v>
      </c>
      <c r="G661">
        <v>30</v>
      </c>
      <c r="H661">
        <f t="shared" si="55"/>
        <v>16</v>
      </c>
      <c r="I661" s="9">
        <f t="shared" si="56"/>
        <v>74157.570000000007</v>
      </c>
      <c r="J661" s="11">
        <f t="shared" si="57"/>
        <v>3.0959752321981424E-2</v>
      </c>
      <c r="K661" t="str">
        <f t="shared" si="58"/>
        <v>October</v>
      </c>
      <c r="L661" t="str">
        <f t="shared" si="59"/>
        <v>2023</v>
      </c>
    </row>
    <row r="662" spans="1:12" x14ac:dyDescent="0.3">
      <c r="A662" t="s">
        <v>48</v>
      </c>
      <c r="B662" s="1">
        <v>44632</v>
      </c>
      <c r="C662" s="1">
        <v>44639</v>
      </c>
      <c r="D662" t="s">
        <v>10</v>
      </c>
      <c r="E662">
        <v>241</v>
      </c>
      <c r="F662" s="8">
        <v>87.42</v>
      </c>
      <c r="G662">
        <v>0</v>
      </c>
      <c r="H662">
        <f t="shared" si="55"/>
        <v>7</v>
      </c>
      <c r="I662" s="9">
        <f t="shared" si="56"/>
        <v>21068.22</v>
      </c>
      <c r="J662" s="11">
        <f t="shared" si="57"/>
        <v>0</v>
      </c>
      <c r="K662" t="str">
        <f t="shared" si="58"/>
        <v>March</v>
      </c>
      <c r="L662" t="str">
        <f t="shared" si="59"/>
        <v>2022</v>
      </c>
    </row>
    <row r="663" spans="1:12" x14ac:dyDescent="0.3">
      <c r="A663" t="s">
        <v>50</v>
      </c>
      <c r="B663" s="1">
        <v>45229</v>
      </c>
      <c r="C663" s="1">
        <v>45239</v>
      </c>
      <c r="D663" t="s">
        <v>12</v>
      </c>
      <c r="E663">
        <v>788</v>
      </c>
      <c r="F663" s="8">
        <v>97.3</v>
      </c>
      <c r="G663">
        <v>32</v>
      </c>
      <c r="H663">
        <f t="shared" si="55"/>
        <v>10</v>
      </c>
      <c r="I663" s="9">
        <f t="shared" si="56"/>
        <v>76672.399999999994</v>
      </c>
      <c r="J663" s="11">
        <f t="shared" si="57"/>
        <v>4.060913705583756E-2</v>
      </c>
      <c r="K663" t="str">
        <f t="shared" si="58"/>
        <v>October</v>
      </c>
      <c r="L663" t="str">
        <f t="shared" si="59"/>
        <v>2023</v>
      </c>
    </row>
    <row r="664" spans="1:12" x14ac:dyDescent="0.3">
      <c r="A664" t="s">
        <v>50</v>
      </c>
      <c r="B664" s="1">
        <v>44603</v>
      </c>
      <c r="C664" s="1">
        <v>44605</v>
      </c>
      <c r="D664" t="s">
        <v>9</v>
      </c>
      <c r="E664">
        <v>1762</v>
      </c>
      <c r="F664" s="8">
        <v>74.12</v>
      </c>
      <c r="G664">
        <v>94</v>
      </c>
      <c r="H664">
        <f t="shared" si="55"/>
        <v>2</v>
      </c>
      <c r="I664" s="9">
        <f t="shared" si="56"/>
        <v>130599.44</v>
      </c>
      <c r="J664" s="11">
        <f t="shared" si="57"/>
        <v>5.3348467650397274E-2</v>
      </c>
      <c r="K664" t="str">
        <f t="shared" si="58"/>
        <v>February</v>
      </c>
      <c r="L664" t="str">
        <f t="shared" si="59"/>
        <v>2022</v>
      </c>
    </row>
    <row r="665" spans="1:12" x14ac:dyDescent="0.3">
      <c r="A665" t="s">
        <v>48</v>
      </c>
      <c r="B665" s="1">
        <v>44815</v>
      </c>
      <c r="C665" s="1">
        <v>44834</v>
      </c>
      <c r="D665" t="s">
        <v>9</v>
      </c>
      <c r="E665">
        <v>1621</v>
      </c>
      <c r="F665" s="8">
        <v>75.680000000000007</v>
      </c>
      <c r="G665">
        <v>226</v>
      </c>
      <c r="H665">
        <f t="shared" si="55"/>
        <v>19</v>
      </c>
      <c r="I665" s="9">
        <f t="shared" si="56"/>
        <v>122677.28000000001</v>
      </c>
      <c r="J665" s="11">
        <f t="shared" si="57"/>
        <v>0.13942011104256632</v>
      </c>
      <c r="K665" t="str">
        <f t="shared" si="58"/>
        <v>September</v>
      </c>
      <c r="L665" t="str">
        <f t="shared" si="59"/>
        <v>2022</v>
      </c>
    </row>
    <row r="666" spans="1:12" x14ac:dyDescent="0.3">
      <c r="A666" t="s">
        <v>46</v>
      </c>
      <c r="B666" s="1">
        <v>44766</v>
      </c>
      <c r="C666" s="1">
        <v>44768</v>
      </c>
      <c r="D666" t="s">
        <v>11</v>
      </c>
      <c r="E666">
        <v>1027</v>
      </c>
      <c r="F666" s="8">
        <v>73.349999999999994</v>
      </c>
      <c r="G666">
        <v>24</v>
      </c>
      <c r="H666">
        <f t="shared" si="55"/>
        <v>2</v>
      </c>
      <c r="I666" s="9">
        <f t="shared" si="56"/>
        <v>75330.45</v>
      </c>
      <c r="J666" s="11">
        <f t="shared" si="57"/>
        <v>2.3369036027263874E-2</v>
      </c>
      <c r="K666" t="str">
        <f t="shared" si="58"/>
        <v>July</v>
      </c>
      <c r="L666" t="str">
        <f t="shared" si="59"/>
        <v>2022</v>
      </c>
    </row>
    <row r="667" spans="1:12" x14ac:dyDescent="0.3">
      <c r="A667" t="s">
        <v>47</v>
      </c>
      <c r="B667" s="1">
        <v>45198</v>
      </c>
      <c r="C667" s="1">
        <v>45204</v>
      </c>
      <c r="D667" t="s">
        <v>11</v>
      </c>
      <c r="E667">
        <v>145</v>
      </c>
      <c r="F667" s="8">
        <v>85.52</v>
      </c>
      <c r="G667">
        <v>11</v>
      </c>
      <c r="H667">
        <f t="shared" si="55"/>
        <v>6</v>
      </c>
      <c r="I667" s="9">
        <f t="shared" si="56"/>
        <v>12400.4</v>
      </c>
      <c r="J667" s="11">
        <f t="shared" si="57"/>
        <v>7.586206896551724E-2</v>
      </c>
      <c r="K667" t="str">
        <f t="shared" si="58"/>
        <v>September</v>
      </c>
      <c r="L667" t="str">
        <f t="shared" si="59"/>
        <v>2023</v>
      </c>
    </row>
    <row r="668" spans="1:12" x14ac:dyDescent="0.3">
      <c r="A668" t="s">
        <v>50</v>
      </c>
      <c r="B668" s="1">
        <v>44806</v>
      </c>
      <c r="C668" s="1">
        <v>44819</v>
      </c>
      <c r="D668" t="s">
        <v>13</v>
      </c>
      <c r="E668">
        <v>712</v>
      </c>
      <c r="F668" s="8">
        <v>92.85</v>
      </c>
      <c r="G668">
        <v>43</v>
      </c>
      <c r="H668">
        <f t="shared" si="55"/>
        <v>13</v>
      </c>
      <c r="I668" s="9">
        <f t="shared" si="56"/>
        <v>66109.2</v>
      </c>
      <c r="J668" s="11">
        <f t="shared" si="57"/>
        <v>6.0393258426966294E-2</v>
      </c>
      <c r="K668" t="str">
        <f t="shared" si="58"/>
        <v>September</v>
      </c>
      <c r="L668" t="str">
        <f t="shared" si="59"/>
        <v>2022</v>
      </c>
    </row>
    <row r="669" spans="1:12" x14ac:dyDescent="0.3">
      <c r="A669" t="s">
        <v>49</v>
      </c>
      <c r="B669" s="1">
        <v>44691</v>
      </c>
      <c r="C669" s="1">
        <v>44697</v>
      </c>
      <c r="D669" t="s">
        <v>13</v>
      </c>
      <c r="E669">
        <v>1263</v>
      </c>
      <c r="F669" s="8">
        <v>90.24</v>
      </c>
      <c r="G669">
        <v>28</v>
      </c>
      <c r="H669">
        <f t="shared" si="55"/>
        <v>6</v>
      </c>
      <c r="I669" s="9">
        <f t="shared" si="56"/>
        <v>113973.12</v>
      </c>
      <c r="J669" s="11">
        <f t="shared" si="57"/>
        <v>2.2169437846397466E-2</v>
      </c>
      <c r="K669" t="str">
        <f t="shared" si="58"/>
        <v>May</v>
      </c>
      <c r="L669" t="str">
        <f t="shared" si="59"/>
        <v>2022</v>
      </c>
    </row>
    <row r="670" spans="1:12" x14ac:dyDescent="0.3">
      <c r="A670" t="s">
        <v>47</v>
      </c>
      <c r="B670" s="1">
        <v>45139</v>
      </c>
      <c r="C670" s="1">
        <v>45140</v>
      </c>
      <c r="D670" t="s">
        <v>13</v>
      </c>
      <c r="E670">
        <v>1442</v>
      </c>
      <c r="F670" s="8">
        <v>43.98</v>
      </c>
      <c r="G670">
        <v>140</v>
      </c>
      <c r="H670">
        <f t="shared" si="55"/>
        <v>1</v>
      </c>
      <c r="I670" s="9">
        <f t="shared" si="56"/>
        <v>63419.159999999996</v>
      </c>
      <c r="J670" s="11">
        <f t="shared" si="57"/>
        <v>9.7087378640776698E-2</v>
      </c>
      <c r="K670" t="str">
        <f t="shared" si="58"/>
        <v>August</v>
      </c>
      <c r="L670" t="str">
        <f t="shared" si="59"/>
        <v>2023</v>
      </c>
    </row>
    <row r="671" spans="1:12" x14ac:dyDescent="0.3">
      <c r="A671" t="s">
        <v>47</v>
      </c>
      <c r="B671" s="1">
        <v>44785</v>
      </c>
      <c r="C671" s="1">
        <v>44805</v>
      </c>
      <c r="D671" t="s">
        <v>9</v>
      </c>
      <c r="E671">
        <v>1768</v>
      </c>
      <c r="F671" s="8">
        <v>79.61</v>
      </c>
      <c r="G671">
        <v>207</v>
      </c>
      <c r="H671">
        <f t="shared" si="55"/>
        <v>20</v>
      </c>
      <c r="I671" s="9">
        <f t="shared" si="56"/>
        <v>140750.48000000001</v>
      </c>
      <c r="J671" s="11">
        <f t="shared" si="57"/>
        <v>0.11708144796380091</v>
      </c>
      <c r="K671" t="str">
        <f t="shared" si="58"/>
        <v>August</v>
      </c>
      <c r="L671" t="str">
        <f t="shared" si="59"/>
        <v>2022</v>
      </c>
    </row>
    <row r="672" spans="1:12" x14ac:dyDescent="0.3">
      <c r="A672" t="s">
        <v>47</v>
      </c>
      <c r="B672" s="1">
        <v>45038</v>
      </c>
      <c r="C672" s="1">
        <v>45049</v>
      </c>
      <c r="D672" t="s">
        <v>13</v>
      </c>
      <c r="E672">
        <v>1598</v>
      </c>
      <c r="F672" s="8">
        <v>26.3</v>
      </c>
      <c r="G672">
        <v>154</v>
      </c>
      <c r="H672">
        <f t="shared" si="55"/>
        <v>11</v>
      </c>
      <c r="I672" s="9">
        <f t="shared" si="56"/>
        <v>42027.4</v>
      </c>
      <c r="J672" s="11">
        <f t="shared" si="57"/>
        <v>9.6370463078848556E-2</v>
      </c>
      <c r="K672" t="str">
        <f t="shared" si="58"/>
        <v>April</v>
      </c>
      <c r="L672" t="str">
        <f t="shared" si="59"/>
        <v>2023</v>
      </c>
    </row>
    <row r="673" spans="1:12" x14ac:dyDescent="0.3">
      <c r="A673" t="s">
        <v>46</v>
      </c>
      <c r="B673" s="1">
        <v>45278</v>
      </c>
      <c r="C673" s="1">
        <v>45296</v>
      </c>
      <c r="D673" t="s">
        <v>10</v>
      </c>
      <c r="E673">
        <v>328</v>
      </c>
      <c r="F673" s="8">
        <v>93.23</v>
      </c>
      <c r="G673">
        <v>6</v>
      </c>
      <c r="H673">
        <f t="shared" si="55"/>
        <v>18</v>
      </c>
      <c r="I673" s="9">
        <f t="shared" si="56"/>
        <v>30579.440000000002</v>
      </c>
      <c r="J673" s="11">
        <f t="shared" si="57"/>
        <v>1.8292682926829267E-2</v>
      </c>
      <c r="K673" t="str">
        <f t="shared" si="58"/>
        <v>December</v>
      </c>
      <c r="L673" t="str">
        <f t="shared" si="59"/>
        <v>2023</v>
      </c>
    </row>
    <row r="674" spans="1:12" x14ac:dyDescent="0.3">
      <c r="A674" t="s">
        <v>49</v>
      </c>
      <c r="B674" s="1">
        <v>44824</v>
      </c>
      <c r="C674" s="1">
        <v>44829</v>
      </c>
      <c r="D674" t="s">
        <v>11</v>
      </c>
      <c r="E674">
        <v>266</v>
      </c>
      <c r="F674" s="8">
        <v>88.29</v>
      </c>
      <c r="G674">
        <v>4</v>
      </c>
      <c r="H674">
        <f t="shared" si="55"/>
        <v>5</v>
      </c>
      <c r="I674" s="9">
        <f t="shared" si="56"/>
        <v>23485.140000000003</v>
      </c>
      <c r="J674" s="11">
        <f t="shared" si="57"/>
        <v>1.5037593984962405E-2</v>
      </c>
      <c r="K674" t="str">
        <f t="shared" si="58"/>
        <v>September</v>
      </c>
      <c r="L674" t="str">
        <f t="shared" si="59"/>
        <v>2022</v>
      </c>
    </row>
    <row r="675" spans="1:12" x14ac:dyDescent="0.3">
      <c r="A675" t="s">
        <v>50</v>
      </c>
      <c r="B675" s="1">
        <v>44934</v>
      </c>
      <c r="C675" s="1">
        <v>44940</v>
      </c>
      <c r="D675" t="s">
        <v>13</v>
      </c>
      <c r="E675">
        <v>449</v>
      </c>
      <c r="F675" s="8">
        <v>12.35</v>
      </c>
      <c r="G675">
        <v>29</v>
      </c>
      <c r="H675">
        <f t="shared" si="55"/>
        <v>6</v>
      </c>
      <c r="I675" s="9">
        <f t="shared" si="56"/>
        <v>5545.15</v>
      </c>
      <c r="J675" s="11">
        <f t="shared" si="57"/>
        <v>6.4587973273942098E-2</v>
      </c>
      <c r="K675" t="str">
        <f t="shared" si="58"/>
        <v>January</v>
      </c>
      <c r="L675" t="str">
        <f t="shared" si="59"/>
        <v>2023</v>
      </c>
    </row>
    <row r="676" spans="1:12" x14ac:dyDescent="0.3">
      <c r="A676" t="s">
        <v>49</v>
      </c>
      <c r="B676" s="1">
        <v>44733</v>
      </c>
      <c r="C676" s="1">
        <v>44737</v>
      </c>
      <c r="D676" t="s">
        <v>11</v>
      </c>
      <c r="E676">
        <v>922</v>
      </c>
      <c r="F676" s="8">
        <v>10.84</v>
      </c>
      <c r="G676">
        <v>29</v>
      </c>
      <c r="H676">
        <f t="shared" si="55"/>
        <v>4</v>
      </c>
      <c r="I676" s="9">
        <f t="shared" si="56"/>
        <v>9994.48</v>
      </c>
      <c r="J676" s="11">
        <f t="shared" si="57"/>
        <v>3.1453362255965296E-2</v>
      </c>
      <c r="K676" t="str">
        <f t="shared" si="58"/>
        <v>June</v>
      </c>
      <c r="L676" t="str">
        <f t="shared" si="59"/>
        <v>2022</v>
      </c>
    </row>
    <row r="677" spans="1:12" x14ac:dyDescent="0.3">
      <c r="A677" t="s">
        <v>50</v>
      </c>
      <c r="B677" s="1">
        <v>45182</v>
      </c>
      <c r="C677" s="1">
        <v>45197</v>
      </c>
      <c r="D677" t="s">
        <v>11</v>
      </c>
      <c r="E677">
        <v>1871</v>
      </c>
      <c r="F677" s="8">
        <v>39.42</v>
      </c>
      <c r="G677">
        <v>101</v>
      </c>
      <c r="H677">
        <f t="shared" si="55"/>
        <v>15</v>
      </c>
      <c r="I677" s="9">
        <f t="shared" si="56"/>
        <v>73754.820000000007</v>
      </c>
      <c r="J677" s="11">
        <f t="shared" si="57"/>
        <v>5.3981827899518976E-2</v>
      </c>
      <c r="K677" t="str">
        <f t="shared" si="58"/>
        <v>September</v>
      </c>
      <c r="L677" t="str">
        <f t="shared" si="59"/>
        <v>2023</v>
      </c>
    </row>
    <row r="678" spans="1:12" x14ac:dyDescent="0.3">
      <c r="A678" t="s">
        <v>49</v>
      </c>
      <c r="B678" s="1">
        <v>45183</v>
      </c>
      <c r="C678" s="1">
        <v>45189</v>
      </c>
      <c r="D678" t="s">
        <v>12</v>
      </c>
      <c r="E678">
        <v>1346</v>
      </c>
      <c r="F678" s="8">
        <v>72.08</v>
      </c>
      <c r="G678">
        <v>38</v>
      </c>
      <c r="H678">
        <f t="shared" si="55"/>
        <v>6</v>
      </c>
      <c r="I678" s="9">
        <f t="shared" si="56"/>
        <v>97019.68</v>
      </c>
      <c r="J678" s="11">
        <f t="shared" si="57"/>
        <v>2.8231797919762259E-2</v>
      </c>
      <c r="K678" t="str">
        <f t="shared" si="58"/>
        <v>September</v>
      </c>
      <c r="L678" t="str">
        <f t="shared" si="59"/>
        <v>2023</v>
      </c>
    </row>
    <row r="679" spans="1:12" x14ac:dyDescent="0.3">
      <c r="A679" t="s">
        <v>49</v>
      </c>
      <c r="B679" s="1">
        <v>44679</v>
      </c>
      <c r="C679" s="1">
        <v>44690</v>
      </c>
      <c r="D679" t="s">
        <v>13</v>
      </c>
      <c r="E679">
        <v>1954</v>
      </c>
      <c r="F679" s="8">
        <v>99.78</v>
      </c>
      <c r="G679">
        <v>57</v>
      </c>
      <c r="H679">
        <f t="shared" si="55"/>
        <v>11</v>
      </c>
      <c r="I679" s="9">
        <f t="shared" si="56"/>
        <v>194970.12</v>
      </c>
      <c r="J679" s="11">
        <f t="shared" si="57"/>
        <v>2.9170931422722621E-2</v>
      </c>
      <c r="K679" t="str">
        <f t="shared" si="58"/>
        <v>April</v>
      </c>
      <c r="L679" t="str">
        <f t="shared" si="59"/>
        <v>2022</v>
      </c>
    </row>
    <row r="680" spans="1:12" x14ac:dyDescent="0.3">
      <c r="A680" t="s">
        <v>47</v>
      </c>
      <c r="B680" s="1">
        <v>44729</v>
      </c>
      <c r="C680" s="1">
        <v>44748</v>
      </c>
      <c r="D680" t="s">
        <v>13</v>
      </c>
      <c r="E680">
        <v>111</v>
      </c>
      <c r="F680" s="8">
        <v>68.53</v>
      </c>
      <c r="G680">
        <v>11</v>
      </c>
      <c r="H680">
        <f t="shared" si="55"/>
        <v>19</v>
      </c>
      <c r="I680" s="9">
        <f t="shared" si="56"/>
        <v>7606.83</v>
      </c>
      <c r="J680" s="11">
        <f t="shared" si="57"/>
        <v>9.90990990990991E-2</v>
      </c>
      <c r="K680" t="str">
        <f t="shared" si="58"/>
        <v>June</v>
      </c>
      <c r="L680" t="str">
        <f t="shared" si="59"/>
        <v>2022</v>
      </c>
    </row>
    <row r="681" spans="1:12" x14ac:dyDescent="0.3">
      <c r="A681" t="s">
        <v>50</v>
      </c>
      <c r="B681" s="1">
        <v>44880</v>
      </c>
      <c r="C681" s="1">
        <v>44887</v>
      </c>
      <c r="D681" t="s">
        <v>9</v>
      </c>
      <c r="E681">
        <v>645</v>
      </c>
      <c r="F681" s="8">
        <v>35.049999999999997</v>
      </c>
      <c r="G681">
        <v>27</v>
      </c>
      <c r="H681">
        <f t="shared" si="55"/>
        <v>7</v>
      </c>
      <c r="I681" s="9">
        <f t="shared" si="56"/>
        <v>22607.249999999996</v>
      </c>
      <c r="J681" s="11">
        <f t="shared" si="57"/>
        <v>4.1860465116279069E-2</v>
      </c>
      <c r="K681" t="str">
        <f t="shared" si="58"/>
        <v>November</v>
      </c>
      <c r="L681" t="str">
        <f t="shared" si="59"/>
        <v>2022</v>
      </c>
    </row>
    <row r="682" spans="1:12" x14ac:dyDescent="0.3">
      <c r="A682" t="s">
        <v>50</v>
      </c>
      <c r="B682" s="1">
        <v>44672</v>
      </c>
      <c r="C682" s="1">
        <v>44685</v>
      </c>
      <c r="D682" t="s">
        <v>13</v>
      </c>
      <c r="E682">
        <v>1953</v>
      </c>
      <c r="F682" s="8">
        <v>68.069999999999993</v>
      </c>
      <c r="G682">
        <v>87</v>
      </c>
      <c r="H682">
        <f t="shared" si="55"/>
        <v>13</v>
      </c>
      <c r="I682" s="9">
        <f t="shared" si="56"/>
        <v>132940.71</v>
      </c>
      <c r="J682" s="11">
        <f t="shared" si="57"/>
        <v>4.4546850998463901E-2</v>
      </c>
      <c r="K682" t="str">
        <f t="shared" si="58"/>
        <v>April</v>
      </c>
      <c r="L682" t="str">
        <f t="shared" si="59"/>
        <v>2022</v>
      </c>
    </row>
    <row r="683" spans="1:12" x14ac:dyDescent="0.3">
      <c r="A683" t="s">
        <v>50</v>
      </c>
      <c r="B683" s="1">
        <v>45154</v>
      </c>
      <c r="C683" s="1">
        <v>45171</v>
      </c>
      <c r="D683" t="s">
        <v>13</v>
      </c>
      <c r="E683">
        <v>778</v>
      </c>
      <c r="F683" s="8">
        <v>64.17</v>
      </c>
      <c r="G683">
        <v>47</v>
      </c>
      <c r="H683">
        <f t="shared" si="55"/>
        <v>17</v>
      </c>
      <c r="I683" s="9">
        <f t="shared" si="56"/>
        <v>49924.26</v>
      </c>
      <c r="J683" s="11">
        <f t="shared" si="57"/>
        <v>6.0411311053984576E-2</v>
      </c>
      <c r="K683" t="str">
        <f t="shared" si="58"/>
        <v>August</v>
      </c>
      <c r="L683" t="str">
        <f t="shared" si="59"/>
        <v>2023</v>
      </c>
    </row>
    <row r="684" spans="1:12" x14ac:dyDescent="0.3">
      <c r="A684" t="s">
        <v>50</v>
      </c>
      <c r="B684" s="1">
        <v>44950</v>
      </c>
      <c r="C684" s="1">
        <v>44960</v>
      </c>
      <c r="D684" t="s">
        <v>10</v>
      </c>
      <c r="E684">
        <v>1765</v>
      </c>
      <c r="F684" s="8">
        <v>81.010000000000005</v>
      </c>
      <c r="G684">
        <v>78</v>
      </c>
      <c r="H684">
        <f t="shared" si="55"/>
        <v>10</v>
      </c>
      <c r="I684" s="9">
        <f t="shared" si="56"/>
        <v>142982.65000000002</v>
      </c>
      <c r="J684" s="11">
        <f t="shared" si="57"/>
        <v>4.4192634560906517E-2</v>
      </c>
      <c r="K684" t="str">
        <f t="shared" si="58"/>
        <v>January</v>
      </c>
      <c r="L684" t="str">
        <f t="shared" si="59"/>
        <v>2023</v>
      </c>
    </row>
    <row r="685" spans="1:12" x14ac:dyDescent="0.3">
      <c r="A685" t="s">
        <v>50</v>
      </c>
      <c r="B685" s="1">
        <v>44881</v>
      </c>
      <c r="C685" s="1">
        <v>44887</v>
      </c>
      <c r="D685" t="s">
        <v>12</v>
      </c>
      <c r="E685">
        <v>446</v>
      </c>
      <c r="F685" s="8">
        <v>20.61</v>
      </c>
      <c r="G685">
        <v>14</v>
      </c>
      <c r="H685">
        <f t="shared" si="55"/>
        <v>6</v>
      </c>
      <c r="I685" s="9">
        <f t="shared" si="56"/>
        <v>9192.06</v>
      </c>
      <c r="J685" s="11">
        <f t="shared" si="57"/>
        <v>3.1390134529147982E-2</v>
      </c>
      <c r="K685" t="str">
        <f t="shared" si="58"/>
        <v>November</v>
      </c>
      <c r="L685" t="str">
        <f t="shared" si="59"/>
        <v>2022</v>
      </c>
    </row>
    <row r="686" spans="1:12" x14ac:dyDescent="0.3">
      <c r="A686" t="s">
        <v>46</v>
      </c>
      <c r="B686" s="1">
        <v>45255</v>
      </c>
      <c r="C686" s="1">
        <v>45263</v>
      </c>
      <c r="D686" t="s">
        <v>13</v>
      </c>
      <c r="E686">
        <v>1092</v>
      </c>
      <c r="F686" s="8">
        <v>65.17</v>
      </c>
      <c r="G686">
        <v>21</v>
      </c>
      <c r="H686">
        <f t="shared" si="55"/>
        <v>8</v>
      </c>
      <c r="I686" s="9">
        <f t="shared" si="56"/>
        <v>71165.64</v>
      </c>
      <c r="J686" s="11">
        <f t="shared" si="57"/>
        <v>1.9230769230769232E-2</v>
      </c>
      <c r="K686" t="str">
        <f t="shared" si="58"/>
        <v>November</v>
      </c>
      <c r="L686" t="str">
        <f t="shared" si="59"/>
        <v>2023</v>
      </c>
    </row>
    <row r="687" spans="1:12" x14ac:dyDescent="0.3">
      <c r="A687" t="s">
        <v>50</v>
      </c>
      <c r="B687" s="1">
        <v>44939</v>
      </c>
      <c r="C687" s="1">
        <v>44954</v>
      </c>
      <c r="D687" t="s">
        <v>12</v>
      </c>
      <c r="E687">
        <v>916</v>
      </c>
      <c r="F687" s="8">
        <v>59.01</v>
      </c>
      <c r="G687">
        <v>47</v>
      </c>
      <c r="H687">
        <f t="shared" si="55"/>
        <v>15</v>
      </c>
      <c r="I687" s="9">
        <f t="shared" si="56"/>
        <v>54053.159999999996</v>
      </c>
      <c r="J687" s="11">
        <f t="shared" si="57"/>
        <v>5.1310043668122272E-2</v>
      </c>
      <c r="K687" t="str">
        <f t="shared" si="58"/>
        <v>January</v>
      </c>
      <c r="L687" t="str">
        <f t="shared" si="59"/>
        <v>2023</v>
      </c>
    </row>
    <row r="688" spans="1:12" x14ac:dyDescent="0.3">
      <c r="A688" t="s">
        <v>48</v>
      </c>
      <c r="B688" s="1">
        <v>44968</v>
      </c>
      <c r="C688" s="1">
        <v>44977</v>
      </c>
      <c r="D688" t="s">
        <v>13</v>
      </c>
      <c r="E688">
        <v>1685</v>
      </c>
      <c r="F688" s="8">
        <v>43.42</v>
      </c>
      <c r="G688">
        <v>262</v>
      </c>
      <c r="H688">
        <f t="shared" ref="H688:H691" si="60" xml:space="preserve"> C688-B688</f>
        <v>9</v>
      </c>
      <c r="I688" s="9">
        <f t="shared" ref="I688:I691" si="61">F688*E688</f>
        <v>73162.7</v>
      </c>
      <c r="J688" s="11">
        <f t="shared" ref="J688:J691" si="62">(G688/E688)</f>
        <v>0.15548961424332344</v>
      </c>
      <c r="K688" t="str">
        <f t="shared" ref="K688:K691" si="63">TEXT(B688,"mmmm")</f>
        <v>February</v>
      </c>
      <c r="L688" t="str">
        <f t="shared" ref="L688:L691" si="64">TEXT(B688,"yyyy")</f>
        <v>2023</v>
      </c>
    </row>
    <row r="689" spans="1:12" x14ac:dyDescent="0.3">
      <c r="A689" t="s">
        <v>50</v>
      </c>
      <c r="B689" s="1">
        <v>44639</v>
      </c>
      <c r="C689" s="1">
        <v>44658</v>
      </c>
      <c r="D689" t="s">
        <v>12</v>
      </c>
      <c r="E689">
        <v>494</v>
      </c>
      <c r="F689" s="8">
        <v>94.82</v>
      </c>
      <c r="G689">
        <v>29</v>
      </c>
      <c r="H689">
        <f t="shared" si="60"/>
        <v>19</v>
      </c>
      <c r="I689" s="9">
        <f t="shared" si="61"/>
        <v>46841.079999999994</v>
      </c>
      <c r="J689" s="11">
        <f t="shared" si="62"/>
        <v>5.8704453441295545E-2</v>
      </c>
      <c r="K689" t="str">
        <f t="shared" si="63"/>
        <v>March</v>
      </c>
      <c r="L689" t="str">
        <f t="shared" si="64"/>
        <v>2022</v>
      </c>
    </row>
    <row r="690" spans="1:12" x14ac:dyDescent="0.3">
      <c r="A690" t="s">
        <v>47</v>
      </c>
      <c r="B690" s="1">
        <v>45168</v>
      </c>
      <c r="C690" s="1">
        <v>45180</v>
      </c>
      <c r="D690" t="s">
        <v>10</v>
      </c>
      <c r="E690">
        <v>1306</v>
      </c>
      <c r="F690" s="8">
        <v>21.05</v>
      </c>
      <c r="G690">
        <v>128</v>
      </c>
      <c r="H690">
        <f t="shared" si="60"/>
        <v>12</v>
      </c>
      <c r="I690" s="9">
        <f t="shared" si="61"/>
        <v>27491.3</v>
      </c>
      <c r="J690" s="11">
        <f t="shared" si="62"/>
        <v>9.8009188361408886E-2</v>
      </c>
      <c r="K690" t="str">
        <f t="shared" si="63"/>
        <v>August</v>
      </c>
      <c r="L690" t="str">
        <f t="shared" si="64"/>
        <v>2023</v>
      </c>
    </row>
    <row r="691" spans="1:12" x14ac:dyDescent="0.3">
      <c r="A691" t="s">
        <v>47</v>
      </c>
      <c r="B691" s="1">
        <v>45269</v>
      </c>
      <c r="C691" s="1">
        <v>45271</v>
      </c>
      <c r="D691" t="s">
        <v>9</v>
      </c>
      <c r="E691">
        <v>1988</v>
      </c>
      <c r="F691" s="8">
        <v>105.2</v>
      </c>
      <c r="G691">
        <v>187</v>
      </c>
      <c r="H691">
        <f t="shared" si="60"/>
        <v>2</v>
      </c>
      <c r="I691" s="9">
        <f t="shared" si="61"/>
        <v>209137.6</v>
      </c>
      <c r="J691" s="11">
        <f t="shared" si="62"/>
        <v>9.406438631790745E-2</v>
      </c>
      <c r="K691" t="str">
        <f t="shared" si="63"/>
        <v>December</v>
      </c>
      <c r="L691" t="str">
        <f t="shared" si="64"/>
        <v>2023</v>
      </c>
    </row>
  </sheetData>
  <phoneticPr fontId="19" type="noConversion"/>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BE0C3-5849-40BB-87FE-19808D09C449}">
  <dimension ref="A1:I13"/>
  <sheetViews>
    <sheetView workbookViewId="0">
      <selection activeCell="I7" sqref="I7"/>
    </sheetView>
  </sheetViews>
  <sheetFormatPr defaultRowHeight="14.4" x14ac:dyDescent="0.3"/>
  <cols>
    <col min="1" max="1" width="28.88671875" customWidth="1"/>
    <col min="3" max="3" width="19.5546875" customWidth="1"/>
    <col min="5" max="5" width="20.77734375" customWidth="1"/>
    <col min="8" max="8" width="15.88671875" customWidth="1"/>
    <col min="9" max="9" width="13" customWidth="1"/>
  </cols>
  <sheetData>
    <row r="1" spans="1:9" x14ac:dyDescent="0.3">
      <c r="B1" s="3"/>
    </row>
    <row r="2" spans="1:9" ht="17.399999999999999" x14ac:dyDescent="0.3">
      <c r="B2" s="3"/>
      <c r="C2" s="6" t="s">
        <v>0</v>
      </c>
      <c r="E2" s="2" t="s">
        <v>1</v>
      </c>
    </row>
    <row r="3" spans="1:9" ht="17.399999999999999" x14ac:dyDescent="0.3">
      <c r="B3" s="3"/>
      <c r="C3" s="2" t="s">
        <v>1</v>
      </c>
      <c r="E3" s="2" t="s">
        <v>4</v>
      </c>
    </row>
    <row r="4" spans="1:9" ht="17.399999999999999" x14ac:dyDescent="0.3">
      <c r="A4" s="2" t="s">
        <v>15</v>
      </c>
      <c r="B4" s="3"/>
      <c r="C4" s="4" t="s">
        <v>2</v>
      </c>
      <c r="E4" s="4" t="s">
        <v>2</v>
      </c>
    </row>
    <row r="5" spans="1:9" ht="17.399999999999999" x14ac:dyDescent="0.3">
      <c r="A5" s="4" t="s">
        <v>17</v>
      </c>
      <c r="B5" s="3"/>
      <c r="C5" s="4" t="s">
        <v>3</v>
      </c>
      <c r="E5" s="4" t="s">
        <v>3</v>
      </c>
    </row>
    <row r="6" spans="1:9" ht="17.399999999999999" x14ac:dyDescent="0.3">
      <c r="A6" s="5" t="s">
        <v>21</v>
      </c>
      <c r="B6" s="3"/>
      <c r="C6" s="2" t="s">
        <v>4</v>
      </c>
      <c r="E6" s="5" t="s">
        <v>6</v>
      </c>
      <c r="H6" s="25" t="s">
        <v>51</v>
      </c>
      <c r="I6" s="26" t="s">
        <v>52</v>
      </c>
    </row>
    <row r="7" spans="1:9" ht="17.399999999999999" x14ac:dyDescent="0.3">
      <c r="A7" s="3"/>
      <c r="B7" s="3"/>
      <c r="C7" s="6" t="s">
        <v>5</v>
      </c>
      <c r="E7" s="5" t="s">
        <v>7</v>
      </c>
      <c r="H7" s="27" t="s">
        <v>1</v>
      </c>
      <c r="I7" s="28" t="s">
        <v>6</v>
      </c>
    </row>
    <row r="8" spans="1:9" ht="17.399999999999999" x14ac:dyDescent="0.3">
      <c r="A8" s="3"/>
      <c r="B8" s="3"/>
      <c r="C8" s="5" t="s">
        <v>6</v>
      </c>
      <c r="E8" s="2" t="s">
        <v>8</v>
      </c>
      <c r="H8" s="27" t="s">
        <v>53</v>
      </c>
      <c r="I8" s="28" t="s">
        <v>57</v>
      </c>
    </row>
    <row r="9" spans="1:9" ht="17.399999999999999" x14ac:dyDescent="0.3">
      <c r="A9" s="3"/>
      <c r="B9" s="3"/>
      <c r="C9" s="5" t="s">
        <v>7</v>
      </c>
      <c r="E9" s="7" t="s">
        <v>18</v>
      </c>
      <c r="H9" s="27" t="s">
        <v>54</v>
      </c>
      <c r="I9" s="28" t="s">
        <v>18</v>
      </c>
    </row>
    <row r="10" spans="1:9" ht="17.399999999999999" x14ac:dyDescent="0.3">
      <c r="A10" s="3"/>
      <c r="B10" s="3"/>
      <c r="C10" s="2" t="s">
        <v>8</v>
      </c>
      <c r="E10" s="7" t="s">
        <v>16</v>
      </c>
      <c r="H10" s="27" t="s">
        <v>55</v>
      </c>
      <c r="I10" s="28" t="s">
        <v>16</v>
      </c>
    </row>
    <row r="11" spans="1:9" ht="17.399999999999999" x14ac:dyDescent="0.3">
      <c r="A11" s="3"/>
      <c r="B11" s="3"/>
      <c r="C11" s="3"/>
      <c r="E11" s="7" t="s">
        <v>19</v>
      </c>
      <c r="H11" s="27" t="s">
        <v>56</v>
      </c>
      <c r="I11" s="28" t="s">
        <v>19</v>
      </c>
    </row>
    <row r="12" spans="1:9" ht="17.399999999999999" x14ac:dyDescent="0.3">
      <c r="E12" s="7" t="s">
        <v>20</v>
      </c>
      <c r="H12" s="27" t="s">
        <v>38</v>
      </c>
      <c r="I12" s="28" t="s">
        <v>58</v>
      </c>
    </row>
    <row r="13" spans="1:9" ht="17.399999999999999" x14ac:dyDescent="0.3">
      <c r="E13" s="7"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4DFF9-D1C8-4E66-AFAF-4973EB89A218}">
  <dimension ref="A3:M14"/>
  <sheetViews>
    <sheetView workbookViewId="0">
      <selection activeCell="M8" sqref="L8:M15"/>
    </sheetView>
  </sheetViews>
  <sheetFormatPr defaultRowHeight="14.4" x14ac:dyDescent="0.3"/>
  <cols>
    <col min="1" max="1" width="22.6640625" bestFit="1" customWidth="1"/>
    <col min="2" max="2" width="14.88671875" bestFit="1" customWidth="1"/>
    <col min="3" max="3" width="16.21875" bestFit="1" customWidth="1"/>
    <col min="4" max="4" width="19.6640625" bestFit="1" customWidth="1"/>
    <col min="5" max="5" width="15.88671875" bestFit="1" customWidth="1"/>
    <col min="6" max="6" width="20.44140625" bestFit="1" customWidth="1"/>
    <col min="7" max="7" width="20.88671875" bestFit="1" customWidth="1"/>
  </cols>
  <sheetData>
    <row r="3" spans="1:13" x14ac:dyDescent="0.3">
      <c r="A3" t="s">
        <v>44</v>
      </c>
      <c r="B3" t="s">
        <v>36</v>
      </c>
      <c r="C3" t="s">
        <v>37</v>
      </c>
      <c r="D3" t="s">
        <v>42</v>
      </c>
      <c r="E3" t="s">
        <v>41</v>
      </c>
      <c r="F3" t="s">
        <v>43</v>
      </c>
      <c r="G3" t="s">
        <v>45</v>
      </c>
    </row>
    <row r="4" spans="1:13" x14ac:dyDescent="0.3">
      <c r="A4" s="29">
        <v>5</v>
      </c>
      <c r="B4" s="29">
        <v>89142</v>
      </c>
      <c r="C4" s="9">
        <v>4717.38</v>
      </c>
      <c r="D4" s="16">
        <v>11.276315789473685</v>
      </c>
      <c r="E4" s="9">
        <v>5396779.2499999991</v>
      </c>
      <c r="F4" s="15">
        <v>5.7435424085501813E-2</v>
      </c>
      <c r="G4" s="29">
        <v>4862</v>
      </c>
    </row>
    <row r="8" spans="1:13" x14ac:dyDescent="0.3">
      <c r="L8" s="19"/>
      <c r="M8" s="19"/>
    </row>
    <row r="9" spans="1:13" x14ac:dyDescent="0.3">
      <c r="L9" s="14"/>
      <c r="M9" s="8"/>
    </row>
    <row r="10" spans="1:13" x14ac:dyDescent="0.3">
      <c r="L10" s="14"/>
      <c r="M10" s="8"/>
    </row>
    <row r="11" spans="1:13" x14ac:dyDescent="0.3">
      <c r="L11" s="14"/>
      <c r="M11" s="8"/>
    </row>
    <row r="12" spans="1:13" x14ac:dyDescent="0.3">
      <c r="L12" s="14"/>
      <c r="M12" s="8"/>
    </row>
    <row r="13" spans="1:13" x14ac:dyDescent="0.3">
      <c r="L13" s="14"/>
      <c r="M13" s="8"/>
    </row>
    <row r="14" spans="1:13" x14ac:dyDescent="0.3">
      <c r="L14" s="20"/>
      <c r="M14"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57BC-CA7B-4949-A4A9-16FC419BF1BA}">
  <dimension ref="A3:AA170"/>
  <sheetViews>
    <sheetView topLeftCell="D1" workbookViewId="0">
      <selection activeCell="V8" sqref="V8"/>
    </sheetView>
  </sheetViews>
  <sheetFormatPr defaultRowHeight="14.4" x14ac:dyDescent="0.3"/>
  <cols>
    <col min="1" max="1" width="13.21875" bestFit="1" customWidth="1"/>
    <col min="2" max="2" width="19.44140625" bestFit="1" customWidth="1"/>
    <col min="4" max="4" width="14.77734375" bestFit="1" customWidth="1"/>
    <col min="5" max="5" width="20.44140625" bestFit="1" customWidth="1"/>
    <col min="21" max="21" width="19.6640625" bestFit="1" customWidth="1"/>
    <col min="22" max="22" width="15.5546875" bestFit="1" customWidth="1"/>
    <col min="23" max="23" width="12" bestFit="1" customWidth="1"/>
    <col min="24" max="24" width="14.77734375" bestFit="1" customWidth="1"/>
    <col min="25" max="25" width="14.6640625" bestFit="1" customWidth="1"/>
    <col min="26" max="26" width="12.21875" bestFit="1" customWidth="1"/>
    <col min="27" max="27" width="11" bestFit="1" customWidth="1"/>
    <col min="28" max="28" width="9" bestFit="1" customWidth="1"/>
    <col min="29" max="29" width="14.6640625" bestFit="1" customWidth="1"/>
    <col min="30" max="30" width="11" bestFit="1" customWidth="1"/>
    <col min="31" max="31" width="12.21875" bestFit="1" customWidth="1"/>
    <col min="32" max="32" width="11" bestFit="1" customWidth="1"/>
    <col min="33" max="33" width="12" bestFit="1" customWidth="1"/>
  </cols>
  <sheetData>
    <row r="3" spans="1:23" x14ac:dyDescent="0.3">
      <c r="A3" s="13" t="s">
        <v>22</v>
      </c>
      <c r="B3" t="s">
        <v>37</v>
      </c>
    </row>
    <row r="4" spans="1:23" x14ac:dyDescent="0.3">
      <c r="A4" s="14" t="s">
        <v>46</v>
      </c>
      <c r="B4" s="29"/>
    </row>
    <row r="5" spans="1:23" x14ac:dyDescent="0.3">
      <c r="A5" s="3" t="s">
        <v>26</v>
      </c>
      <c r="B5" s="29"/>
      <c r="U5" s="22" t="s">
        <v>39</v>
      </c>
      <c r="V5" s="22" t="s">
        <v>40</v>
      </c>
      <c r="W5" s="9"/>
    </row>
    <row r="6" spans="1:23" x14ac:dyDescent="0.3">
      <c r="A6" s="17" t="s">
        <v>59</v>
      </c>
      <c r="B6" s="29"/>
      <c r="U6" s="9"/>
      <c r="V6" s="9" t="s">
        <v>10</v>
      </c>
      <c r="W6" s="9" t="s">
        <v>35</v>
      </c>
    </row>
    <row r="7" spans="1:23" x14ac:dyDescent="0.3">
      <c r="A7" s="18" t="s">
        <v>10</v>
      </c>
      <c r="B7" s="29">
        <v>163.16</v>
      </c>
      <c r="U7" s="22" t="s">
        <v>22</v>
      </c>
      <c r="V7" s="9" t="s">
        <v>59</v>
      </c>
      <c r="W7" s="9"/>
    </row>
    <row r="8" spans="1:23" x14ac:dyDescent="0.3">
      <c r="A8" s="3" t="s">
        <v>30</v>
      </c>
      <c r="B8" s="29"/>
      <c r="U8" s="23" t="s">
        <v>46</v>
      </c>
      <c r="V8" s="9">
        <v>58.664375</v>
      </c>
      <c r="W8" s="9">
        <v>58.664375</v>
      </c>
    </row>
    <row r="9" spans="1:23" x14ac:dyDescent="0.3">
      <c r="A9" s="17" t="s">
        <v>59</v>
      </c>
      <c r="B9" s="29"/>
      <c r="U9" s="23" t="s">
        <v>50</v>
      </c>
      <c r="V9" s="9">
        <v>60.754615384615377</v>
      </c>
      <c r="W9" s="9">
        <v>60.754615384615377</v>
      </c>
    </row>
    <row r="10" spans="1:23" x14ac:dyDescent="0.3">
      <c r="A10" s="18" t="s">
        <v>10</v>
      </c>
      <c r="B10" s="29">
        <v>37.119999999999997</v>
      </c>
      <c r="U10" s="23" t="s">
        <v>47</v>
      </c>
      <c r="V10" s="9">
        <v>61.038125000000001</v>
      </c>
      <c r="W10" s="9">
        <v>61.038125000000001</v>
      </c>
    </row>
    <row r="11" spans="1:23" x14ac:dyDescent="0.3">
      <c r="A11" s="3" t="s">
        <v>34</v>
      </c>
      <c r="B11" s="29"/>
      <c r="U11" s="23" t="s">
        <v>48</v>
      </c>
      <c r="V11" s="9">
        <v>64.56941176470589</v>
      </c>
      <c r="W11" s="9">
        <v>64.56941176470589</v>
      </c>
    </row>
    <row r="12" spans="1:23" x14ac:dyDescent="0.3">
      <c r="A12" s="17" t="s">
        <v>59</v>
      </c>
      <c r="B12" s="29"/>
      <c r="U12" s="23" t="s">
        <v>49</v>
      </c>
      <c r="V12" s="9">
        <v>65.332142857142856</v>
      </c>
      <c r="W12" s="9">
        <v>65.332142857142856</v>
      </c>
    </row>
    <row r="13" spans="1:23" x14ac:dyDescent="0.3">
      <c r="A13" s="18" t="s">
        <v>10</v>
      </c>
      <c r="B13" s="29">
        <v>93.23</v>
      </c>
      <c r="U13" s="23" t="s">
        <v>35</v>
      </c>
      <c r="V13" s="9">
        <v>62.070789473684215</v>
      </c>
      <c r="W13" s="9">
        <v>62.070789473684215</v>
      </c>
    </row>
    <row r="14" spans="1:23" x14ac:dyDescent="0.3">
      <c r="A14" s="3" t="s">
        <v>23</v>
      </c>
      <c r="B14" s="29"/>
    </row>
    <row r="15" spans="1:23" x14ac:dyDescent="0.3">
      <c r="A15" s="17" t="s">
        <v>59</v>
      </c>
      <c r="B15" s="29"/>
    </row>
    <row r="16" spans="1:23" x14ac:dyDescent="0.3">
      <c r="A16" s="18" t="s">
        <v>10</v>
      </c>
      <c r="B16" s="29">
        <v>133.03</v>
      </c>
    </row>
    <row r="17" spans="1:2" x14ac:dyDescent="0.3">
      <c r="A17" s="3" t="s">
        <v>29</v>
      </c>
      <c r="B17" s="29"/>
    </row>
    <row r="18" spans="1:2" x14ac:dyDescent="0.3">
      <c r="A18" s="17" t="s">
        <v>59</v>
      </c>
      <c r="B18" s="29"/>
    </row>
    <row r="19" spans="1:2" x14ac:dyDescent="0.3">
      <c r="A19" s="18" t="s">
        <v>10</v>
      </c>
      <c r="B19" s="29">
        <v>102.07</v>
      </c>
    </row>
    <row r="20" spans="1:2" x14ac:dyDescent="0.3">
      <c r="A20" s="3" t="s">
        <v>28</v>
      </c>
      <c r="B20" s="29"/>
    </row>
    <row r="21" spans="1:2" x14ac:dyDescent="0.3">
      <c r="A21" s="17" t="s">
        <v>59</v>
      </c>
      <c r="B21" s="29"/>
    </row>
    <row r="22" spans="1:2" x14ac:dyDescent="0.3">
      <c r="A22" s="18" t="s">
        <v>10</v>
      </c>
      <c r="B22" s="29">
        <v>23.46</v>
      </c>
    </row>
    <row r="23" spans="1:2" x14ac:dyDescent="0.3">
      <c r="A23" s="3" t="s">
        <v>25</v>
      </c>
      <c r="B23" s="29"/>
    </row>
    <row r="24" spans="1:2" x14ac:dyDescent="0.3">
      <c r="A24" s="17" t="s">
        <v>59</v>
      </c>
      <c r="B24" s="29"/>
    </row>
    <row r="25" spans="1:2" x14ac:dyDescent="0.3">
      <c r="A25" s="18" t="s">
        <v>10</v>
      </c>
      <c r="B25" s="29">
        <v>139.81</v>
      </c>
    </row>
    <row r="26" spans="1:2" x14ac:dyDescent="0.3">
      <c r="A26" s="3" t="s">
        <v>27</v>
      </c>
      <c r="B26" s="29"/>
    </row>
    <row r="27" spans="1:2" x14ac:dyDescent="0.3">
      <c r="A27" s="17" t="s">
        <v>59</v>
      </c>
      <c r="B27" s="29"/>
    </row>
    <row r="28" spans="1:2" x14ac:dyDescent="0.3">
      <c r="A28" s="18" t="s">
        <v>10</v>
      </c>
      <c r="B28" s="29">
        <v>118.43</v>
      </c>
    </row>
    <row r="29" spans="1:2" x14ac:dyDescent="0.3">
      <c r="A29" s="3" t="s">
        <v>32</v>
      </c>
      <c r="B29" s="29"/>
    </row>
    <row r="30" spans="1:2" x14ac:dyDescent="0.3">
      <c r="A30" s="17" t="s">
        <v>59</v>
      </c>
      <c r="B30" s="29"/>
    </row>
    <row r="31" spans="1:2" x14ac:dyDescent="0.3">
      <c r="A31" s="18" t="s">
        <v>10</v>
      </c>
      <c r="B31" s="29">
        <v>93.03</v>
      </c>
    </row>
    <row r="32" spans="1:2" x14ac:dyDescent="0.3">
      <c r="A32" s="3" t="s">
        <v>31</v>
      </c>
      <c r="B32" s="29"/>
    </row>
    <row r="33" spans="1:24" x14ac:dyDescent="0.3">
      <c r="A33" s="17" t="s">
        <v>59</v>
      </c>
      <c r="B33" s="29"/>
    </row>
    <row r="34" spans="1:24" x14ac:dyDescent="0.3">
      <c r="A34" s="18" t="s">
        <v>10</v>
      </c>
      <c r="B34" s="29">
        <v>35.29</v>
      </c>
    </row>
    <row r="35" spans="1:24" x14ac:dyDescent="0.3">
      <c r="A35" s="14" t="s">
        <v>47</v>
      </c>
      <c r="B35" s="29"/>
    </row>
    <row r="36" spans="1:24" x14ac:dyDescent="0.3">
      <c r="A36" s="3" t="s">
        <v>26</v>
      </c>
      <c r="B36" s="29"/>
    </row>
    <row r="37" spans="1:24" x14ac:dyDescent="0.3">
      <c r="A37" s="17" t="s">
        <v>59</v>
      </c>
      <c r="B37" s="29"/>
    </row>
    <row r="38" spans="1:24" x14ac:dyDescent="0.3">
      <c r="A38" s="18" t="s">
        <v>10</v>
      </c>
      <c r="B38" s="29">
        <v>33</v>
      </c>
      <c r="V38" s="13" t="s">
        <v>42</v>
      </c>
      <c r="W38" s="13" t="s">
        <v>40</v>
      </c>
    </row>
    <row r="39" spans="1:24" x14ac:dyDescent="0.3">
      <c r="A39" s="3" t="s">
        <v>30</v>
      </c>
      <c r="B39" s="29"/>
      <c r="V39" s="13" t="s">
        <v>22</v>
      </c>
      <c r="W39" t="s">
        <v>59</v>
      </c>
      <c r="X39" t="s">
        <v>35</v>
      </c>
    </row>
    <row r="40" spans="1:24" x14ac:dyDescent="0.3">
      <c r="A40" s="17" t="s">
        <v>59</v>
      </c>
      <c r="B40" s="29"/>
      <c r="V40" s="14" t="s">
        <v>50</v>
      </c>
      <c r="W40" s="10">
        <v>10.153846153846153</v>
      </c>
      <c r="X40" s="10">
        <v>10.153846153846153</v>
      </c>
    </row>
    <row r="41" spans="1:24" x14ac:dyDescent="0.3">
      <c r="A41" s="18" t="s">
        <v>10</v>
      </c>
      <c r="B41" s="29">
        <v>43.52</v>
      </c>
      <c r="V41" s="14" t="s">
        <v>49</v>
      </c>
      <c r="W41" s="10">
        <v>10.214285714285714</v>
      </c>
      <c r="X41" s="10">
        <v>10.214285714285714</v>
      </c>
    </row>
    <row r="42" spans="1:24" x14ac:dyDescent="0.3">
      <c r="A42" s="3" t="s">
        <v>34</v>
      </c>
      <c r="B42" s="29"/>
      <c r="V42" s="14" t="s">
        <v>47</v>
      </c>
      <c r="W42" s="10">
        <v>10.3125</v>
      </c>
      <c r="X42" s="10">
        <v>10.3125</v>
      </c>
    </row>
    <row r="43" spans="1:24" x14ac:dyDescent="0.3">
      <c r="A43" s="17" t="s">
        <v>59</v>
      </c>
      <c r="B43" s="29"/>
      <c r="V43" s="14" t="s">
        <v>46</v>
      </c>
      <c r="W43" s="10">
        <v>12.375</v>
      </c>
      <c r="X43" s="10">
        <v>12.375</v>
      </c>
    </row>
    <row r="44" spans="1:24" x14ac:dyDescent="0.3">
      <c r="A44" s="18" t="s">
        <v>10</v>
      </c>
      <c r="B44" s="29">
        <v>78.180000000000007</v>
      </c>
      <c r="V44" s="14" t="s">
        <v>48</v>
      </c>
      <c r="W44" s="10">
        <v>12.882352941176471</v>
      </c>
      <c r="X44" s="10">
        <v>12.882352941176471</v>
      </c>
    </row>
    <row r="45" spans="1:24" x14ac:dyDescent="0.3">
      <c r="A45" s="3" t="s">
        <v>24</v>
      </c>
      <c r="B45" s="29"/>
      <c r="V45" s="14" t="s">
        <v>35</v>
      </c>
      <c r="W45" s="16">
        <v>11.276315789473685</v>
      </c>
      <c r="X45" s="16">
        <v>11.276315789473685</v>
      </c>
    </row>
    <row r="46" spans="1:24" x14ac:dyDescent="0.3">
      <c r="A46" s="17" t="s">
        <v>59</v>
      </c>
      <c r="B46" s="29"/>
    </row>
    <row r="47" spans="1:24" x14ac:dyDescent="0.3">
      <c r="A47" s="18" t="s">
        <v>10</v>
      </c>
      <c r="B47" s="29">
        <v>140.16999999999999</v>
      </c>
    </row>
    <row r="48" spans="1:24" x14ac:dyDescent="0.3">
      <c r="A48" s="3" t="s">
        <v>29</v>
      </c>
      <c r="B48" s="29"/>
    </row>
    <row r="49" spans="1:25" x14ac:dyDescent="0.3">
      <c r="A49" s="17" t="s">
        <v>59</v>
      </c>
      <c r="B49" s="29"/>
    </row>
    <row r="50" spans="1:25" x14ac:dyDescent="0.3">
      <c r="A50" s="18" t="s">
        <v>10</v>
      </c>
      <c r="B50" s="29">
        <v>166.28</v>
      </c>
    </row>
    <row r="51" spans="1:25" x14ac:dyDescent="0.3">
      <c r="A51" s="3" t="s">
        <v>28</v>
      </c>
      <c r="B51" s="29"/>
    </row>
    <row r="52" spans="1:25" x14ac:dyDescent="0.3">
      <c r="A52" s="17" t="s">
        <v>59</v>
      </c>
      <c r="B52" s="29"/>
    </row>
    <row r="53" spans="1:25" x14ac:dyDescent="0.3">
      <c r="A53" s="18" t="s">
        <v>10</v>
      </c>
      <c r="B53" s="29">
        <v>87.86</v>
      </c>
    </row>
    <row r="54" spans="1:25" x14ac:dyDescent="0.3">
      <c r="A54" s="3" t="s">
        <v>25</v>
      </c>
      <c r="B54" s="29"/>
      <c r="V54" s="13" t="s">
        <v>22</v>
      </c>
      <c r="W54" t="s">
        <v>42</v>
      </c>
      <c r="X54" t="s">
        <v>43</v>
      </c>
      <c r="Y54" t="s">
        <v>39</v>
      </c>
    </row>
    <row r="55" spans="1:25" x14ac:dyDescent="0.3">
      <c r="A55" s="17" t="s">
        <v>59</v>
      </c>
      <c r="B55" s="29"/>
      <c r="V55" s="14" t="s">
        <v>46</v>
      </c>
      <c r="W55" s="10">
        <v>12.375</v>
      </c>
      <c r="X55" s="15">
        <v>1.6058249830288265E-2</v>
      </c>
      <c r="Y55" s="24">
        <v>58.664375</v>
      </c>
    </row>
    <row r="56" spans="1:25" x14ac:dyDescent="0.3">
      <c r="A56" s="18" t="s">
        <v>10</v>
      </c>
      <c r="B56" s="29">
        <v>51.04</v>
      </c>
      <c r="V56" s="14" t="s">
        <v>50</v>
      </c>
      <c r="W56" s="10">
        <v>10.153846153846153</v>
      </c>
      <c r="X56" s="15">
        <v>3.9186874629180017E-2</v>
      </c>
      <c r="Y56" s="24">
        <v>60.754615384615377</v>
      </c>
    </row>
    <row r="57" spans="1:25" x14ac:dyDescent="0.3">
      <c r="A57" s="3" t="s">
        <v>27</v>
      </c>
      <c r="B57" s="29"/>
      <c r="V57" s="14" t="s">
        <v>47</v>
      </c>
      <c r="W57" s="10">
        <v>10.3125</v>
      </c>
      <c r="X57" s="15">
        <v>9.5834530631780129E-2</v>
      </c>
      <c r="Y57" s="24">
        <v>61.038125000000001</v>
      </c>
    </row>
    <row r="58" spans="1:25" x14ac:dyDescent="0.3">
      <c r="A58" s="17" t="s">
        <v>59</v>
      </c>
      <c r="B58" s="29"/>
      <c r="V58" s="14" t="s">
        <v>48</v>
      </c>
      <c r="W58" s="10">
        <v>12.882352941176471</v>
      </c>
      <c r="X58" s="15">
        <v>9.6588690695602275E-2</v>
      </c>
      <c r="Y58" s="24">
        <v>64.56941176470589</v>
      </c>
    </row>
    <row r="59" spans="1:25" x14ac:dyDescent="0.3">
      <c r="A59" s="18" t="s">
        <v>10</v>
      </c>
      <c r="B59" s="29">
        <v>178.17</v>
      </c>
      <c r="V59" s="14" t="s">
        <v>49</v>
      </c>
      <c r="W59" s="10">
        <v>10.214285714285714</v>
      </c>
      <c r="X59" s="15">
        <v>3.0240759364318841E-2</v>
      </c>
      <c r="Y59" s="24">
        <v>65.332142857142856</v>
      </c>
    </row>
    <row r="60" spans="1:25" x14ac:dyDescent="0.3">
      <c r="A60" s="3" t="s">
        <v>33</v>
      </c>
      <c r="B60" s="29"/>
      <c r="V60" s="14" t="s">
        <v>35</v>
      </c>
      <c r="W60" s="10">
        <v>11.276315789473685</v>
      </c>
      <c r="X60" s="15">
        <v>5.7435424085501813E-2</v>
      </c>
      <c r="Y60" s="29">
        <v>62.070789473684215</v>
      </c>
    </row>
    <row r="61" spans="1:25" x14ac:dyDescent="0.3">
      <c r="A61" s="17" t="s">
        <v>59</v>
      </c>
      <c r="B61" s="29"/>
    </row>
    <row r="62" spans="1:25" x14ac:dyDescent="0.3">
      <c r="A62" s="18" t="s">
        <v>10</v>
      </c>
      <c r="B62" s="29">
        <v>19.37</v>
      </c>
    </row>
    <row r="63" spans="1:25" x14ac:dyDescent="0.3">
      <c r="A63" s="3" t="s">
        <v>32</v>
      </c>
      <c r="B63" s="29"/>
    </row>
    <row r="64" spans="1:25" x14ac:dyDescent="0.3">
      <c r="A64" s="17" t="s">
        <v>59</v>
      </c>
      <c r="B64" s="29"/>
    </row>
    <row r="65" spans="1:27" x14ac:dyDescent="0.3">
      <c r="A65" s="18" t="s">
        <v>10</v>
      </c>
      <c r="B65" s="29">
        <v>91.56</v>
      </c>
    </row>
    <row r="66" spans="1:27" x14ac:dyDescent="0.3">
      <c r="A66" s="3" t="s">
        <v>31</v>
      </c>
      <c r="B66" s="29"/>
    </row>
    <row r="67" spans="1:27" x14ac:dyDescent="0.3">
      <c r="A67" s="17" t="s">
        <v>59</v>
      </c>
      <c r="B67" s="29"/>
    </row>
    <row r="68" spans="1:27" x14ac:dyDescent="0.3">
      <c r="A68" s="18" t="s">
        <v>10</v>
      </c>
      <c r="B68" s="29">
        <v>87.46</v>
      </c>
    </row>
    <row r="69" spans="1:27" x14ac:dyDescent="0.3">
      <c r="A69" s="14" t="s">
        <v>48</v>
      </c>
      <c r="B69" s="29"/>
    </row>
    <row r="70" spans="1:27" x14ac:dyDescent="0.3">
      <c r="A70" s="3" t="s">
        <v>26</v>
      </c>
      <c r="B70" s="29"/>
    </row>
    <row r="71" spans="1:27" x14ac:dyDescent="0.3">
      <c r="A71" s="17" t="s">
        <v>59</v>
      </c>
      <c r="B71" s="29"/>
    </row>
    <row r="72" spans="1:27" x14ac:dyDescent="0.3">
      <c r="A72" s="18" t="s">
        <v>10</v>
      </c>
      <c r="B72" s="29">
        <v>146.88999999999999</v>
      </c>
    </row>
    <row r="73" spans="1:27" x14ac:dyDescent="0.3">
      <c r="A73" s="3" t="s">
        <v>34</v>
      </c>
      <c r="B73" s="29"/>
    </row>
    <row r="74" spans="1:27" x14ac:dyDescent="0.3">
      <c r="A74" s="17" t="s">
        <v>59</v>
      </c>
      <c r="B74" s="29"/>
    </row>
    <row r="75" spans="1:27" x14ac:dyDescent="0.3">
      <c r="A75" s="18" t="s">
        <v>10</v>
      </c>
      <c r="B75" s="29">
        <v>85.08</v>
      </c>
    </row>
    <row r="76" spans="1:27" x14ac:dyDescent="0.3">
      <c r="A76" s="3" t="s">
        <v>23</v>
      </c>
      <c r="B76" s="29"/>
    </row>
    <row r="77" spans="1:27" x14ac:dyDescent="0.3">
      <c r="A77" s="17" t="s">
        <v>59</v>
      </c>
      <c r="B77" s="29"/>
      <c r="U77" s="13" t="s">
        <v>41</v>
      </c>
      <c r="V77" s="13" t="s">
        <v>40</v>
      </c>
    </row>
    <row r="78" spans="1:27" x14ac:dyDescent="0.3">
      <c r="A78" s="18" t="s">
        <v>10</v>
      </c>
      <c r="B78" s="29">
        <v>97.07</v>
      </c>
      <c r="V78" t="s">
        <v>46</v>
      </c>
      <c r="W78" t="s">
        <v>47</v>
      </c>
      <c r="X78" t="s">
        <v>48</v>
      </c>
      <c r="Y78" t="s">
        <v>49</v>
      </c>
      <c r="Z78" t="s">
        <v>50</v>
      </c>
      <c r="AA78" t="s">
        <v>35</v>
      </c>
    </row>
    <row r="79" spans="1:27" x14ac:dyDescent="0.3">
      <c r="A79" s="3" t="s">
        <v>29</v>
      </c>
      <c r="B79" s="29"/>
      <c r="U79" s="13" t="s">
        <v>22</v>
      </c>
      <c r="V79" t="s">
        <v>59</v>
      </c>
      <c r="W79" t="s">
        <v>59</v>
      </c>
      <c r="X79" t="s">
        <v>59</v>
      </c>
      <c r="Y79" t="s">
        <v>59</v>
      </c>
      <c r="Z79" t="s">
        <v>59</v>
      </c>
    </row>
    <row r="80" spans="1:27" x14ac:dyDescent="0.3">
      <c r="A80" s="17" t="s">
        <v>59</v>
      </c>
      <c r="B80" s="29"/>
      <c r="U80" s="14" t="s">
        <v>26</v>
      </c>
      <c r="V80" s="29">
        <v>146075.74</v>
      </c>
      <c r="W80" s="29">
        <v>37917</v>
      </c>
      <c r="X80" s="29">
        <v>185645.96000000002</v>
      </c>
      <c r="Y80" s="29">
        <v>19290.96</v>
      </c>
      <c r="Z80" s="29"/>
      <c r="AA80" s="29">
        <v>388929.66000000003</v>
      </c>
    </row>
    <row r="81" spans="1:27" x14ac:dyDescent="0.3">
      <c r="A81" s="18" t="s">
        <v>10</v>
      </c>
      <c r="B81" s="29">
        <v>81.44</v>
      </c>
      <c r="U81" s="14" t="s">
        <v>30</v>
      </c>
      <c r="V81" s="29">
        <v>33333.759999999995</v>
      </c>
      <c r="W81" s="29">
        <v>42995.6</v>
      </c>
      <c r="X81" s="29"/>
      <c r="Y81" s="29">
        <v>164908.47</v>
      </c>
      <c r="Z81" s="29">
        <v>22979.32</v>
      </c>
      <c r="AA81" s="29">
        <v>264217.14999999997</v>
      </c>
    </row>
    <row r="82" spans="1:27" x14ac:dyDescent="0.3">
      <c r="A82" s="3" t="s">
        <v>28</v>
      </c>
      <c r="B82" s="29"/>
      <c r="U82" s="14" t="s">
        <v>34</v>
      </c>
      <c r="V82" s="29">
        <v>30579.440000000002</v>
      </c>
      <c r="W82" s="29">
        <v>80260.5</v>
      </c>
      <c r="X82" s="29">
        <v>16062.289999999999</v>
      </c>
      <c r="Y82" s="29">
        <v>291742.28999999998</v>
      </c>
      <c r="Z82" s="29">
        <v>40246.480000000003</v>
      </c>
      <c r="AA82" s="29">
        <v>458891</v>
      </c>
    </row>
    <row r="83" spans="1:27" x14ac:dyDescent="0.3">
      <c r="A83" s="17" t="s">
        <v>59</v>
      </c>
      <c r="B83" s="29"/>
      <c r="U83" s="14" t="s">
        <v>24</v>
      </c>
      <c r="V83" s="29"/>
      <c r="W83" s="29">
        <v>235870.31</v>
      </c>
      <c r="X83" s="29"/>
      <c r="Y83" s="29">
        <v>78127.8</v>
      </c>
      <c r="Z83" s="29"/>
      <c r="AA83" s="29">
        <v>313998.11</v>
      </c>
    </row>
    <row r="84" spans="1:27" x14ac:dyDescent="0.3">
      <c r="A84" s="18" t="s">
        <v>10</v>
      </c>
      <c r="B84" s="29">
        <v>139.44</v>
      </c>
      <c r="U84" s="14" t="s">
        <v>23</v>
      </c>
      <c r="V84" s="29">
        <v>191333.97</v>
      </c>
      <c r="W84" s="29"/>
      <c r="X84" s="29">
        <v>72705.429999999993</v>
      </c>
      <c r="Y84" s="29">
        <v>246635.77</v>
      </c>
      <c r="Z84" s="29">
        <v>320770.05000000005</v>
      </c>
      <c r="AA84" s="29">
        <v>831445.22000000009</v>
      </c>
    </row>
    <row r="85" spans="1:27" x14ac:dyDescent="0.3">
      <c r="A85" s="3" t="s">
        <v>27</v>
      </c>
      <c r="B85" s="29"/>
      <c r="U85" s="14" t="s">
        <v>29</v>
      </c>
      <c r="V85" s="29">
        <v>173314.86</v>
      </c>
      <c r="W85" s="29">
        <v>154004.6</v>
      </c>
      <c r="X85" s="29">
        <v>53913.279999999999</v>
      </c>
      <c r="Y85" s="29">
        <v>47230.400000000001</v>
      </c>
      <c r="Z85" s="29"/>
      <c r="AA85" s="29">
        <v>428463.13999999996</v>
      </c>
    </row>
    <row r="86" spans="1:27" x14ac:dyDescent="0.3">
      <c r="A86" s="17" t="s">
        <v>59</v>
      </c>
      <c r="B86" s="29"/>
      <c r="U86" s="14" t="s">
        <v>28</v>
      </c>
      <c r="V86" s="29">
        <v>44245.560000000005</v>
      </c>
      <c r="W86" s="29">
        <v>16956.98</v>
      </c>
      <c r="X86" s="29">
        <v>25221.06</v>
      </c>
      <c r="Y86" s="29">
        <v>113393</v>
      </c>
      <c r="Z86" s="29">
        <v>38883.769999999997</v>
      </c>
      <c r="AA86" s="29">
        <v>238700.37</v>
      </c>
    </row>
    <row r="87" spans="1:27" x14ac:dyDescent="0.3">
      <c r="A87" s="18" t="s">
        <v>10</v>
      </c>
      <c r="B87" s="29">
        <v>45.68</v>
      </c>
      <c r="U87" s="14" t="s">
        <v>25</v>
      </c>
      <c r="V87" s="29">
        <v>91690.99</v>
      </c>
      <c r="W87" s="29">
        <v>88962.72</v>
      </c>
      <c r="X87" s="29"/>
      <c r="Y87" s="29">
        <v>85071.14</v>
      </c>
      <c r="Z87" s="29">
        <v>159610.28</v>
      </c>
      <c r="AA87" s="29">
        <v>425335.13</v>
      </c>
    </row>
    <row r="88" spans="1:27" x14ac:dyDescent="0.3">
      <c r="A88" s="3" t="s">
        <v>33</v>
      </c>
      <c r="B88" s="29"/>
      <c r="U88" s="14" t="s">
        <v>27</v>
      </c>
      <c r="V88" s="29">
        <v>136501.67000000001</v>
      </c>
      <c r="W88" s="29">
        <v>334694.83</v>
      </c>
      <c r="X88" s="29">
        <v>37137.839999999997</v>
      </c>
      <c r="Y88" s="29"/>
      <c r="Z88" s="29"/>
      <c r="AA88" s="29">
        <v>508334.34</v>
      </c>
    </row>
    <row r="89" spans="1:27" x14ac:dyDescent="0.3">
      <c r="A89" s="17" t="s">
        <v>59</v>
      </c>
      <c r="B89" s="29"/>
      <c r="U89" s="14" t="s">
        <v>33</v>
      </c>
      <c r="V89" s="29"/>
      <c r="W89" s="29">
        <v>14159.470000000001</v>
      </c>
      <c r="X89" s="29">
        <v>185645.74</v>
      </c>
      <c r="Y89" s="29">
        <v>170662.09</v>
      </c>
      <c r="Z89" s="29">
        <v>308348.07999999996</v>
      </c>
      <c r="AA89" s="29">
        <v>678815.38</v>
      </c>
    </row>
    <row r="90" spans="1:27" x14ac:dyDescent="0.3">
      <c r="A90" s="18" t="s">
        <v>10</v>
      </c>
      <c r="B90" s="29">
        <v>116.02</v>
      </c>
      <c r="U90" s="14" t="s">
        <v>32</v>
      </c>
      <c r="V90" s="29">
        <v>106976.07</v>
      </c>
      <c r="W90" s="29">
        <v>93299.64</v>
      </c>
      <c r="X90" s="29">
        <v>133846.81</v>
      </c>
      <c r="Y90" s="29"/>
      <c r="Z90" s="29">
        <v>99656.23000000001</v>
      </c>
      <c r="AA90" s="29">
        <v>433778.75000000006</v>
      </c>
    </row>
    <row r="91" spans="1:27" x14ac:dyDescent="0.3">
      <c r="A91" s="3" t="s">
        <v>32</v>
      </c>
      <c r="B91" s="29"/>
      <c r="U91" s="14" t="s">
        <v>31</v>
      </c>
      <c r="V91" s="29">
        <v>65498.239999999998</v>
      </c>
      <c r="W91" s="29">
        <v>106001.51999999999</v>
      </c>
      <c r="X91" s="29">
        <v>254371.24</v>
      </c>
      <c r="Y91" s="29"/>
      <c r="Z91" s="29"/>
      <c r="AA91" s="29">
        <v>425870.99999999994</v>
      </c>
    </row>
    <row r="92" spans="1:27" x14ac:dyDescent="0.3">
      <c r="A92" s="17" t="s">
        <v>59</v>
      </c>
      <c r="B92" s="29"/>
      <c r="U92" s="14" t="s">
        <v>35</v>
      </c>
      <c r="V92" s="29">
        <v>1019550.3</v>
      </c>
      <c r="W92" s="29">
        <v>1205123.17</v>
      </c>
      <c r="X92" s="29">
        <v>964549.64999999991</v>
      </c>
      <c r="Y92" s="29">
        <v>1217061.9199999997</v>
      </c>
      <c r="Z92" s="29">
        <v>990494.21</v>
      </c>
      <c r="AA92" s="29">
        <v>5396779.2499999991</v>
      </c>
    </row>
    <row r="93" spans="1:27" x14ac:dyDescent="0.3">
      <c r="A93" s="18" t="s">
        <v>10</v>
      </c>
      <c r="B93" s="29">
        <v>174.91</v>
      </c>
    </row>
    <row r="94" spans="1:27" x14ac:dyDescent="0.3">
      <c r="A94" s="3" t="s">
        <v>31</v>
      </c>
      <c r="B94" s="29"/>
    </row>
    <row r="95" spans="1:27" x14ac:dyDescent="0.3">
      <c r="A95" s="17" t="s">
        <v>59</v>
      </c>
      <c r="B95" s="29"/>
    </row>
    <row r="96" spans="1:27" x14ac:dyDescent="0.3">
      <c r="A96" s="18" t="s">
        <v>10</v>
      </c>
      <c r="B96" s="29">
        <v>211.15</v>
      </c>
    </row>
    <row r="97" spans="1:23" x14ac:dyDescent="0.3">
      <c r="A97" s="14" t="s">
        <v>49</v>
      </c>
      <c r="B97" s="29"/>
    </row>
    <row r="98" spans="1:23" x14ac:dyDescent="0.3">
      <c r="A98" s="3" t="s">
        <v>26</v>
      </c>
      <c r="B98" s="29"/>
      <c r="U98" s="13" t="s">
        <v>42</v>
      </c>
      <c r="V98" s="13" t="s">
        <v>40</v>
      </c>
    </row>
    <row r="99" spans="1:23" x14ac:dyDescent="0.3">
      <c r="A99" s="17" t="s">
        <v>59</v>
      </c>
      <c r="B99" s="29"/>
      <c r="U99" s="13" t="s">
        <v>22</v>
      </c>
      <c r="V99" t="s">
        <v>59</v>
      </c>
      <c r="W99" t="s">
        <v>35</v>
      </c>
    </row>
    <row r="100" spans="1:23" x14ac:dyDescent="0.3">
      <c r="A100" s="18" t="s">
        <v>10</v>
      </c>
      <c r="B100" s="29">
        <v>21.06</v>
      </c>
      <c r="U100" s="14" t="s">
        <v>46</v>
      </c>
      <c r="V100" s="29"/>
      <c r="W100" s="29"/>
    </row>
    <row r="101" spans="1:23" x14ac:dyDescent="0.3">
      <c r="A101" s="3" t="s">
        <v>30</v>
      </c>
      <c r="B101" s="29"/>
      <c r="U101" s="3" t="s">
        <v>26</v>
      </c>
      <c r="V101" s="29">
        <v>14</v>
      </c>
      <c r="W101" s="29">
        <v>14</v>
      </c>
    </row>
    <row r="102" spans="1:23" x14ac:dyDescent="0.3">
      <c r="A102" s="17" t="s">
        <v>59</v>
      </c>
      <c r="B102" s="29"/>
      <c r="U102" s="3" t="s">
        <v>30</v>
      </c>
      <c r="V102" s="29">
        <v>9</v>
      </c>
      <c r="W102" s="29">
        <v>9</v>
      </c>
    </row>
    <row r="103" spans="1:23" x14ac:dyDescent="0.3">
      <c r="A103" s="18" t="s">
        <v>10</v>
      </c>
      <c r="B103" s="29">
        <v>135.99</v>
      </c>
      <c r="U103" s="3" t="s">
        <v>34</v>
      </c>
      <c r="V103" s="29">
        <v>18</v>
      </c>
      <c r="W103" s="29">
        <v>18</v>
      </c>
    </row>
    <row r="104" spans="1:23" x14ac:dyDescent="0.3">
      <c r="A104" s="3" t="s">
        <v>34</v>
      </c>
      <c r="B104" s="29"/>
      <c r="U104" s="3" t="s">
        <v>23</v>
      </c>
      <c r="V104" s="29">
        <v>12</v>
      </c>
      <c r="W104" s="29">
        <v>12</v>
      </c>
    </row>
    <row r="105" spans="1:23" x14ac:dyDescent="0.3">
      <c r="A105" s="17" t="s">
        <v>59</v>
      </c>
      <c r="B105" s="29"/>
      <c r="U105" s="3" t="s">
        <v>29</v>
      </c>
      <c r="V105" s="29">
        <v>4</v>
      </c>
      <c r="W105" s="29">
        <v>4</v>
      </c>
    </row>
    <row r="106" spans="1:23" x14ac:dyDescent="0.3">
      <c r="A106" s="18" t="s">
        <v>10</v>
      </c>
      <c r="B106" s="29">
        <v>231.32</v>
      </c>
      <c r="U106" s="3" t="s">
        <v>28</v>
      </c>
      <c r="V106" s="29">
        <v>16</v>
      </c>
      <c r="W106" s="29">
        <v>16</v>
      </c>
    </row>
    <row r="107" spans="1:23" x14ac:dyDescent="0.3">
      <c r="A107" s="3" t="s">
        <v>24</v>
      </c>
      <c r="B107" s="29"/>
      <c r="U107" s="3" t="s">
        <v>25</v>
      </c>
      <c r="V107" s="29">
        <v>13</v>
      </c>
      <c r="W107" s="29">
        <v>13</v>
      </c>
    </row>
    <row r="108" spans="1:23" x14ac:dyDescent="0.3">
      <c r="A108" s="17" t="s">
        <v>59</v>
      </c>
      <c r="B108" s="29"/>
      <c r="U108" s="3" t="s">
        <v>27</v>
      </c>
      <c r="V108" s="29">
        <v>12.5</v>
      </c>
      <c r="W108" s="29">
        <v>12.5</v>
      </c>
    </row>
    <row r="109" spans="1:23" x14ac:dyDescent="0.3">
      <c r="A109" s="18" t="s">
        <v>10</v>
      </c>
      <c r="B109" s="29">
        <v>88.28</v>
      </c>
      <c r="U109" s="3" t="s">
        <v>32</v>
      </c>
      <c r="V109" s="29">
        <v>16.5</v>
      </c>
      <c r="W109" s="29">
        <v>16.5</v>
      </c>
    </row>
    <row r="110" spans="1:23" x14ac:dyDescent="0.3">
      <c r="A110" s="3" t="s">
        <v>23</v>
      </c>
      <c r="B110" s="29"/>
      <c r="U110" s="3" t="s">
        <v>31</v>
      </c>
      <c r="V110" s="29">
        <v>2</v>
      </c>
      <c r="W110" s="29">
        <v>2</v>
      </c>
    </row>
    <row r="111" spans="1:23" x14ac:dyDescent="0.3">
      <c r="A111" s="17" t="s">
        <v>59</v>
      </c>
      <c r="B111" s="29"/>
      <c r="U111" s="14" t="s">
        <v>47</v>
      </c>
      <c r="V111" s="29"/>
      <c r="W111" s="29"/>
    </row>
    <row r="112" spans="1:23" x14ac:dyDescent="0.3">
      <c r="A112" s="18" t="s">
        <v>10</v>
      </c>
      <c r="B112" s="29">
        <v>173.07</v>
      </c>
      <c r="U112" s="3" t="s">
        <v>26</v>
      </c>
      <c r="V112" s="29">
        <v>14</v>
      </c>
      <c r="W112" s="29">
        <v>14</v>
      </c>
    </row>
    <row r="113" spans="1:23" x14ac:dyDescent="0.3">
      <c r="A113" s="3" t="s">
        <v>29</v>
      </c>
      <c r="B113" s="29"/>
      <c r="U113" s="3" t="s">
        <v>30</v>
      </c>
      <c r="V113" s="29">
        <v>13</v>
      </c>
      <c r="W113" s="29">
        <v>13</v>
      </c>
    </row>
    <row r="114" spans="1:23" x14ac:dyDescent="0.3">
      <c r="A114" s="17" t="s">
        <v>59</v>
      </c>
      <c r="B114" s="29"/>
      <c r="U114" s="3" t="s">
        <v>34</v>
      </c>
      <c r="V114" s="29">
        <v>9</v>
      </c>
      <c r="W114" s="29">
        <v>9</v>
      </c>
    </row>
    <row r="115" spans="1:23" x14ac:dyDescent="0.3">
      <c r="A115" s="18" t="s">
        <v>10</v>
      </c>
      <c r="B115" s="29">
        <v>42.17</v>
      </c>
      <c r="U115" s="3" t="s">
        <v>24</v>
      </c>
      <c r="V115" s="29">
        <v>15</v>
      </c>
      <c r="W115" s="29">
        <v>15</v>
      </c>
    </row>
    <row r="116" spans="1:23" x14ac:dyDescent="0.3">
      <c r="A116" s="3" t="s">
        <v>28</v>
      </c>
      <c r="B116" s="29"/>
      <c r="D116" s="13" t="s">
        <v>38</v>
      </c>
      <c r="E116" t="s" vm="1">
        <v>59</v>
      </c>
      <c r="U116" s="3" t="s">
        <v>29</v>
      </c>
      <c r="V116" s="29">
        <v>6.5</v>
      </c>
      <c r="W116" s="29">
        <v>6.5</v>
      </c>
    </row>
    <row r="117" spans="1:23" x14ac:dyDescent="0.3">
      <c r="A117" s="17" t="s">
        <v>59</v>
      </c>
      <c r="B117" s="29"/>
      <c r="U117" s="3" t="s">
        <v>28</v>
      </c>
      <c r="V117" s="29">
        <v>3</v>
      </c>
      <c r="W117" s="29">
        <v>3</v>
      </c>
    </row>
    <row r="118" spans="1:23" x14ac:dyDescent="0.3">
      <c r="A118" s="18" t="s">
        <v>10</v>
      </c>
      <c r="B118" s="29">
        <v>58.45</v>
      </c>
      <c r="D118" s="13" t="s">
        <v>22</v>
      </c>
      <c r="E118" s="15" t="s">
        <v>43</v>
      </c>
      <c r="U118" s="3" t="s">
        <v>25</v>
      </c>
      <c r="V118" s="29">
        <v>20</v>
      </c>
      <c r="W118" s="29">
        <v>20</v>
      </c>
    </row>
    <row r="119" spans="1:23" x14ac:dyDescent="0.3">
      <c r="A119" s="3" t="s">
        <v>25</v>
      </c>
      <c r="B119" s="29"/>
      <c r="D119" s="14" t="s">
        <v>46</v>
      </c>
      <c r="E119" s="29"/>
      <c r="U119" s="3" t="s">
        <v>27</v>
      </c>
      <c r="V119" s="29">
        <v>8</v>
      </c>
      <c r="W119" s="29">
        <v>8</v>
      </c>
    </row>
    <row r="120" spans="1:23" x14ac:dyDescent="0.3">
      <c r="A120" s="17" t="s">
        <v>59</v>
      </c>
      <c r="B120" s="29"/>
      <c r="D120" s="3" t="s">
        <v>26</v>
      </c>
      <c r="E120" s="15">
        <v>1.1053315994798439E-2</v>
      </c>
      <c r="U120" s="3" t="s">
        <v>33</v>
      </c>
      <c r="V120" s="29">
        <v>14</v>
      </c>
      <c r="W120" s="29">
        <v>14</v>
      </c>
    </row>
    <row r="121" spans="1:23" x14ac:dyDescent="0.3">
      <c r="A121" s="18" t="s">
        <v>10</v>
      </c>
      <c r="B121" s="29">
        <v>56.98</v>
      </c>
      <c r="D121" s="3" t="s">
        <v>30</v>
      </c>
      <c r="E121" s="15">
        <v>2.0044543429844099E-2</v>
      </c>
      <c r="U121" s="3" t="s">
        <v>32</v>
      </c>
      <c r="V121" s="29">
        <v>7</v>
      </c>
      <c r="W121" s="29">
        <v>7</v>
      </c>
    </row>
    <row r="122" spans="1:23" x14ac:dyDescent="0.3">
      <c r="A122" s="3" t="s">
        <v>33</v>
      </c>
      <c r="B122" s="29"/>
      <c r="D122" s="3" t="s">
        <v>34</v>
      </c>
      <c r="E122" s="15">
        <v>1.8292682926829267E-2</v>
      </c>
      <c r="U122" s="3" t="s">
        <v>31</v>
      </c>
      <c r="V122" s="29">
        <v>4</v>
      </c>
      <c r="W122" s="29">
        <v>4</v>
      </c>
    </row>
    <row r="123" spans="1:23" x14ac:dyDescent="0.3">
      <c r="A123" s="17" t="s">
        <v>59</v>
      </c>
      <c r="B123" s="29"/>
      <c r="D123" s="3" t="s">
        <v>23</v>
      </c>
      <c r="E123" s="15">
        <v>2.3209890960410567E-2</v>
      </c>
      <c r="U123" s="14" t="s">
        <v>48</v>
      </c>
      <c r="V123" s="29"/>
      <c r="W123" s="29"/>
    </row>
    <row r="124" spans="1:23" x14ac:dyDescent="0.3">
      <c r="A124" s="18" t="s">
        <v>10</v>
      </c>
      <c r="B124" s="29">
        <v>107.33</v>
      </c>
      <c r="D124" s="3" t="s">
        <v>29</v>
      </c>
      <c r="E124" s="15">
        <v>1.6489988221436984E-2</v>
      </c>
      <c r="U124" s="3" t="s">
        <v>26</v>
      </c>
      <c r="V124" s="29">
        <v>18</v>
      </c>
      <c r="W124" s="29">
        <v>18</v>
      </c>
    </row>
    <row r="125" spans="1:23" x14ac:dyDescent="0.3">
      <c r="A125" s="14" t="s">
        <v>50</v>
      </c>
      <c r="B125" s="29"/>
      <c r="D125" s="3" t="s">
        <v>28</v>
      </c>
      <c r="E125" s="15">
        <v>0</v>
      </c>
      <c r="U125" s="3" t="s">
        <v>34</v>
      </c>
      <c r="V125" s="29">
        <v>12</v>
      </c>
      <c r="W125" s="29">
        <v>12</v>
      </c>
    </row>
    <row r="126" spans="1:23" x14ac:dyDescent="0.3">
      <c r="A126" s="3" t="s">
        <v>30</v>
      </c>
      <c r="B126" s="29"/>
      <c r="D126" s="3" t="s">
        <v>25</v>
      </c>
      <c r="E126" s="15">
        <v>1.3694818121078117E-2</v>
      </c>
      <c r="U126" s="3" t="s">
        <v>23</v>
      </c>
      <c r="V126" s="29">
        <v>18</v>
      </c>
      <c r="W126" s="29">
        <v>18</v>
      </c>
    </row>
    <row r="127" spans="1:23" x14ac:dyDescent="0.3">
      <c r="A127" s="17" t="s">
        <v>59</v>
      </c>
      <c r="B127" s="29"/>
      <c r="D127" s="3" t="s">
        <v>27</v>
      </c>
      <c r="E127" s="15">
        <v>9.433962264150943E-3</v>
      </c>
      <c r="U127" s="3" t="s">
        <v>29</v>
      </c>
      <c r="V127" s="29">
        <v>13</v>
      </c>
      <c r="W127" s="29">
        <v>13</v>
      </c>
    </row>
    <row r="128" spans="1:23" x14ac:dyDescent="0.3">
      <c r="A128" s="18" t="s">
        <v>10</v>
      </c>
      <c r="B128" s="29">
        <v>14.98</v>
      </c>
      <c r="D128" s="3" t="s">
        <v>32</v>
      </c>
      <c r="E128" s="15">
        <v>2.9808684607446217E-2</v>
      </c>
      <c r="U128" s="3" t="s">
        <v>28</v>
      </c>
      <c r="V128" s="29">
        <v>11</v>
      </c>
      <c r="W128" s="29">
        <v>11</v>
      </c>
    </row>
    <row r="129" spans="1:23" x14ac:dyDescent="0.3">
      <c r="A129" s="3" t="s">
        <v>34</v>
      </c>
      <c r="B129" s="29"/>
      <c r="D129" s="3" t="s">
        <v>31</v>
      </c>
      <c r="E129" s="15">
        <v>1.4008620689655173E-2</v>
      </c>
      <c r="U129" s="3" t="s">
        <v>27</v>
      </c>
      <c r="V129" s="29">
        <v>16</v>
      </c>
      <c r="W129" s="29">
        <v>16</v>
      </c>
    </row>
    <row r="130" spans="1:23" x14ac:dyDescent="0.3">
      <c r="A130" s="17" t="s">
        <v>59</v>
      </c>
      <c r="B130" s="29"/>
      <c r="D130" s="14" t="s">
        <v>47</v>
      </c>
      <c r="E130" s="29"/>
      <c r="U130" s="3" t="s">
        <v>33</v>
      </c>
      <c r="V130" s="29">
        <v>7</v>
      </c>
      <c r="W130" s="29">
        <v>7</v>
      </c>
    </row>
    <row r="131" spans="1:23" x14ac:dyDescent="0.3">
      <c r="A131" s="18" t="s">
        <v>10</v>
      </c>
      <c r="B131" s="29">
        <v>34.340000000000003</v>
      </c>
      <c r="D131" s="3" t="s">
        <v>26</v>
      </c>
      <c r="E131" s="15">
        <v>0.12271540469973891</v>
      </c>
      <c r="U131" s="3" t="s">
        <v>32</v>
      </c>
      <c r="V131" s="29">
        <v>15.5</v>
      </c>
      <c r="W131" s="29">
        <v>15.5</v>
      </c>
    </row>
    <row r="132" spans="1:23" x14ac:dyDescent="0.3">
      <c r="A132" s="3" t="s">
        <v>23</v>
      </c>
      <c r="B132" s="29"/>
      <c r="D132" s="3" t="s">
        <v>30</v>
      </c>
      <c r="E132" s="15">
        <v>0.1048016956299798</v>
      </c>
      <c r="U132" s="3" t="s">
        <v>31</v>
      </c>
      <c r="V132" s="29">
        <v>12.666666666666666</v>
      </c>
      <c r="W132" s="29">
        <v>12.666666666666666</v>
      </c>
    </row>
    <row r="133" spans="1:23" x14ac:dyDescent="0.3">
      <c r="A133" s="17" t="s">
        <v>59</v>
      </c>
      <c r="B133" s="29"/>
      <c r="D133" s="3" t="s">
        <v>34</v>
      </c>
      <c r="E133" s="15">
        <v>5.1437699680511186E-2</v>
      </c>
      <c r="U133" s="14" t="s">
        <v>49</v>
      </c>
      <c r="V133" s="29"/>
      <c r="W133" s="29"/>
    </row>
    <row r="134" spans="1:23" x14ac:dyDescent="0.3">
      <c r="A134" s="18" t="s">
        <v>10</v>
      </c>
      <c r="B134" s="29">
        <v>186.71</v>
      </c>
      <c r="D134" s="3" t="s">
        <v>24</v>
      </c>
      <c r="E134" s="15">
        <v>0.10141869963785063</v>
      </c>
      <c r="U134" s="3" t="s">
        <v>26</v>
      </c>
      <c r="V134" s="29">
        <v>13</v>
      </c>
      <c r="W134" s="29">
        <v>13</v>
      </c>
    </row>
    <row r="135" spans="1:23" x14ac:dyDescent="0.3">
      <c r="A135" s="3" t="s">
        <v>28</v>
      </c>
      <c r="B135" s="29"/>
      <c r="D135" s="3" t="s">
        <v>29</v>
      </c>
      <c r="E135" s="15">
        <v>9.3572816084096122E-2</v>
      </c>
      <c r="U135" s="3" t="s">
        <v>30</v>
      </c>
      <c r="V135" s="29">
        <v>14.5</v>
      </c>
      <c r="W135" s="29">
        <v>14.5</v>
      </c>
    </row>
    <row r="136" spans="1:23" x14ac:dyDescent="0.3">
      <c r="A136" s="17" t="s">
        <v>59</v>
      </c>
      <c r="B136" s="29"/>
      <c r="D136" s="3" t="s">
        <v>28</v>
      </c>
      <c r="E136" s="15">
        <v>0.10880829015544041</v>
      </c>
      <c r="U136" s="3" t="s">
        <v>34</v>
      </c>
      <c r="V136" s="29">
        <v>5</v>
      </c>
      <c r="W136" s="29">
        <v>5</v>
      </c>
    </row>
    <row r="137" spans="1:23" x14ac:dyDescent="0.3">
      <c r="A137" s="18" t="s">
        <v>10</v>
      </c>
      <c r="B137" s="29">
        <v>28.57</v>
      </c>
      <c r="D137" s="3" t="s">
        <v>25</v>
      </c>
      <c r="E137" s="15">
        <v>9.1795754446356861E-2</v>
      </c>
      <c r="U137" s="3" t="s">
        <v>24</v>
      </c>
      <c r="V137" s="29">
        <v>12</v>
      </c>
      <c r="W137" s="29">
        <v>12</v>
      </c>
    </row>
    <row r="138" spans="1:23" x14ac:dyDescent="0.3">
      <c r="A138" s="3" t="s">
        <v>25</v>
      </c>
      <c r="B138" s="29"/>
      <c r="D138" s="3" t="s">
        <v>27</v>
      </c>
      <c r="E138" s="15">
        <v>0.10344495702576162</v>
      </c>
      <c r="U138" s="3" t="s">
        <v>23</v>
      </c>
      <c r="V138" s="29">
        <v>10.5</v>
      </c>
      <c r="W138" s="29">
        <v>10.5</v>
      </c>
    </row>
    <row r="139" spans="1:23" x14ac:dyDescent="0.3">
      <c r="A139" s="17" t="s">
        <v>59</v>
      </c>
      <c r="B139" s="29"/>
      <c r="D139" s="3" t="s">
        <v>33</v>
      </c>
      <c r="E139" s="15">
        <v>9.4391244870041038E-2</v>
      </c>
      <c r="U139" s="3" t="s">
        <v>29</v>
      </c>
      <c r="V139" s="29">
        <v>11</v>
      </c>
      <c r="W139" s="29">
        <v>11</v>
      </c>
    </row>
    <row r="140" spans="1:23" x14ac:dyDescent="0.3">
      <c r="A140" s="18" t="s">
        <v>10</v>
      </c>
      <c r="B140" s="29">
        <v>182.72</v>
      </c>
      <c r="D140" s="3" t="s">
        <v>32</v>
      </c>
      <c r="E140" s="15">
        <v>0.10893032384690873</v>
      </c>
      <c r="U140" s="3" t="s">
        <v>28</v>
      </c>
      <c r="V140" s="29">
        <v>3</v>
      </c>
      <c r="W140" s="29">
        <v>3</v>
      </c>
    </row>
    <row r="141" spans="1:23" x14ac:dyDescent="0.3">
      <c r="A141" s="3" t="s">
        <v>33</v>
      </c>
      <c r="B141" s="29"/>
      <c r="D141" s="3" t="s">
        <v>31</v>
      </c>
      <c r="E141" s="15">
        <v>9.7359735973597358E-2</v>
      </c>
      <c r="U141" s="3" t="s">
        <v>25</v>
      </c>
      <c r="V141" s="29">
        <v>19</v>
      </c>
      <c r="W141" s="29">
        <v>19</v>
      </c>
    </row>
    <row r="142" spans="1:23" x14ac:dyDescent="0.3">
      <c r="A142" s="17" t="s">
        <v>59</v>
      </c>
      <c r="B142" s="29"/>
      <c r="D142" s="14" t="s">
        <v>48</v>
      </c>
      <c r="E142" s="29"/>
      <c r="U142" s="3" t="s">
        <v>33</v>
      </c>
      <c r="V142" s="29">
        <v>10</v>
      </c>
      <c r="W142" s="29">
        <v>10</v>
      </c>
    </row>
    <row r="143" spans="1:23" x14ac:dyDescent="0.3">
      <c r="A143" s="18" t="s">
        <v>10</v>
      </c>
      <c r="B143" s="29">
        <v>224.92</v>
      </c>
      <c r="D143" s="3" t="s">
        <v>26</v>
      </c>
      <c r="E143" s="15">
        <v>7.3913043478260873E-2</v>
      </c>
      <c r="U143" s="14" t="s">
        <v>50</v>
      </c>
      <c r="V143" s="29"/>
      <c r="W143" s="29"/>
    </row>
    <row r="144" spans="1:23" x14ac:dyDescent="0.3">
      <c r="A144" s="3" t="s">
        <v>32</v>
      </c>
      <c r="B144" s="29"/>
      <c r="D144" s="3" t="s">
        <v>34</v>
      </c>
      <c r="E144" s="15">
        <v>0.16473000683527</v>
      </c>
      <c r="U144" s="3" t="s">
        <v>30</v>
      </c>
      <c r="V144" s="29">
        <v>2</v>
      </c>
      <c r="W144" s="29">
        <v>2</v>
      </c>
    </row>
    <row r="145" spans="1:23" x14ac:dyDescent="0.3">
      <c r="A145" s="17" t="s">
        <v>59</v>
      </c>
      <c r="B145" s="29"/>
      <c r="D145" s="3" t="s">
        <v>23</v>
      </c>
      <c r="E145" s="15">
        <v>0.16421895861148197</v>
      </c>
      <c r="U145" s="3" t="s">
        <v>34</v>
      </c>
      <c r="V145" s="29">
        <v>20</v>
      </c>
      <c r="W145" s="29">
        <v>20</v>
      </c>
    </row>
    <row r="146" spans="1:23" x14ac:dyDescent="0.3">
      <c r="A146" s="18" t="s">
        <v>10</v>
      </c>
      <c r="B146" s="29">
        <v>117.57</v>
      </c>
      <c r="D146" s="3" t="s">
        <v>29</v>
      </c>
      <c r="E146" s="15">
        <v>0.13141993957703926</v>
      </c>
      <c r="U146" s="3" t="s">
        <v>23</v>
      </c>
      <c r="V146" s="29">
        <v>11.5</v>
      </c>
      <c r="W146" s="29">
        <v>11.5</v>
      </c>
    </row>
    <row r="147" spans="1:23" x14ac:dyDescent="0.3">
      <c r="A147" s="14" t="s">
        <v>35</v>
      </c>
      <c r="B147" s="29">
        <v>4717.38</v>
      </c>
      <c r="D147" s="3" t="s">
        <v>28</v>
      </c>
      <c r="E147" s="15">
        <v>6.25E-2</v>
      </c>
      <c r="U147" s="3" t="s">
        <v>28</v>
      </c>
      <c r="V147" s="29">
        <v>16</v>
      </c>
      <c r="W147" s="29">
        <v>16</v>
      </c>
    </row>
    <row r="148" spans="1:23" x14ac:dyDescent="0.3">
      <c r="D148" s="3" t="s">
        <v>27</v>
      </c>
      <c r="E148" s="15">
        <v>0</v>
      </c>
      <c r="U148" s="3" t="s">
        <v>25</v>
      </c>
      <c r="V148" s="29">
        <v>8.6666666666666661</v>
      </c>
      <c r="W148" s="29">
        <v>8.6666666666666661</v>
      </c>
    </row>
    <row r="149" spans="1:23" x14ac:dyDescent="0.3">
      <c r="D149" s="3" t="s">
        <v>33</v>
      </c>
      <c r="E149" s="15">
        <v>0.10045625065641862</v>
      </c>
      <c r="U149" s="3" t="s">
        <v>33</v>
      </c>
      <c r="V149" s="29">
        <v>8</v>
      </c>
      <c r="W149" s="29">
        <v>8</v>
      </c>
    </row>
    <row r="150" spans="1:23" x14ac:dyDescent="0.3">
      <c r="D150" s="3" t="s">
        <v>32</v>
      </c>
      <c r="E150" s="15">
        <v>7.3601973684210523E-2</v>
      </c>
      <c r="U150" s="3" t="s">
        <v>32</v>
      </c>
      <c r="V150" s="29">
        <v>10.5</v>
      </c>
      <c r="W150" s="29">
        <v>10.5</v>
      </c>
    </row>
    <row r="151" spans="1:23" x14ac:dyDescent="0.3">
      <c r="D151" s="3" t="s">
        <v>31</v>
      </c>
      <c r="E151" s="15">
        <v>9.850334789065962E-2</v>
      </c>
      <c r="U151" s="14" t="s">
        <v>35</v>
      </c>
      <c r="V151" s="10">
        <v>11.276315789473685</v>
      </c>
      <c r="W151" s="10">
        <v>11.276315789473685</v>
      </c>
    </row>
    <row r="152" spans="1:23" x14ac:dyDescent="0.3">
      <c r="D152" s="14" t="s">
        <v>49</v>
      </c>
      <c r="E152" s="29"/>
    </row>
    <row r="153" spans="1:23" x14ac:dyDescent="0.3">
      <c r="D153" s="3" t="s">
        <v>26</v>
      </c>
      <c r="E153" s="15">
        <v>2.7292576419213975E-2</v>
      </c>
    </row>
    <row r="154" spans="1:23" x14ac:dyDescent="0.3">
      <c r="D154" s="3" t="s">
        <v>30</v>
      </c>
      <c r="E154" s="15">
        <v>3.5816161540440039E-2</v>
      </c>
    </row>
    <row r="155" spans="1:23" x14ac:dyDescent="0.3">
      <c r="D155" s="3" t="s">
        <v>34</v>
      </c>
      <c r="E155" s="15">
        <v>2.8669902958796623E-2</v>
      </c>
    </row>
    <row r="156" spans="1:23" x14ac:dyDescent="0.3">
      <c r="D156" s="3" t="s">
        <v>24</v>
      </c>
      <c r="E156" s="15">
        <v>3.5028248587570622E-2</v>
      </c>
    </row>
    <row r="157" spans="1:23" x14ac:dyDescent="0.3">
      <c r="D157" s="3" t="s">
        <v>23</v>
      </c>
      <c r="E157" s="15">
        <v>3.103456473161223E-2</v>
      </c>
    </row>
    <row r="158" spans="1:23" x14ac:dyDescent="0.3">
      <c r="D158" s="3" t="s">
        <v>29</v>
      </c>
      <c r="E158" s="15">
        <v>2.9464285714285714E-2</v>
      </c>
    </row>
    <row r="159" spans="1:23" x14ac:dyDescent="0.3">
      <c r="D159" s="3" t="s">
        <v>28</v>
      </c>
      <c r="E159" s="15">
        <v>2.7835051546391754E-2</v>
      </c>
    </row>
    <row r="160" spans="1:23" x14ac:dyDescent="0.3">
      <c r="D160" s="3" t="s">
        <v>25</v>
      </c>
      <c r="E160" s="15">
        <v>2.8801071667782986E-2</v>
      </c>
    </row>
    <row r="161" spans="4:5" x14ac:dyDescent="0.3">
      <c r="D161" s="3" t="s">
        <v>33</v>
      </c>
      <c r="E161" s="15">
        <v>2.7619117872362157E-2</v>
      </c>
    </row>
    <row r="162" spans="4:5" x14ac:dyDescent="0.3">
      <c r="D162" s="14" t="s">
        <v>50</v>
      </c>
      <c r="E162" s="29"/>
    </row>
    <row r="163" spans="4:5" x14ac:dyDescent="0.3">
      <c r="D163" s="3" t="s">
        <v>30</v>
      </c>
      <c r="E163" s="15">
        <v>0</v>
      </c>
    </row>
    <row r="164" spans="4:5" x14ac:dyDescent="0.3">
      <c r="D164" s="3" t="s">
        <v>34</v>
      </c>
      <c r="E164" s="15">
        <v>5.8873720136518773E-2</v>
      </c>
    </row>
    <row r="165" spans="4:5" x14ac:dyDescent="0.3">
      <c r="D165" s="3" t="s">
        <v>23</v>
      </c>
      <c r="E165" s="15">
        <v>5.0039242369632808E-2</v>
      </c>
    </row>
    <row r="166" spans="4:5" x14ac:dyDescent="0.3">
      <c r="D166" s="3" t="s">
        <v>28</v>
      </c>
      <c r="E166" s="15">
        <v>4.7759000734753858E-2</v>
      </c>
    </row>
    <row r="167" spans="4:5" x14ac:dyDescent="0.3">
      <c r="D167" s="3" t="s">
        <v>25</v>
      </c>
      <c r="E167" s="15">
        <v>4.5977842793191427E-2</v>
      </c>
    </row>
    <row r="168" spans="4:5" x14ac:dyDescent="0.3">
      <c r="D168" s="3" t="s">
        <v>33</v>
      </c>
      <c r="E168" s="15">
        <v>1.7099711303575394E-2</v>
      </c>
    </row>
    <row r="169" spans="4:5" x14ac:dyDescent="0.3">
      <c r="D169" s="3" t="s">
        <v>32</v>
      </c>
      <c r="E169" s="15">
        <v>5.6742751139250716E-2</v>
      </c>
    </row>
    <row r="170" spans="4:5" x14ac:dyDescent="0.3">
      <c r="D170" s="14" t="s">
        <v>35</v>
      </c>
      <c r="E170" s="15">
        <v>5.7435424085501813E-2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5A2AE-DEA2-4124-A222-C7E3AD7167A4}">
  <dimension ref="A1"/>
  <sheetViews>
    <sheetView showGridLines="0" showRowColHeaders="0" tabSelected="1" topLeftCell="A47" zoomScale="95" zoomScaleNormal="95" workbookViewId="0">
      <selection activeCell="R1" sqref="R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Procurement KPI Analysis Datase</vt:lpstr>
      <vt:lpstr>Data Understanding</vt:lpstr>
      <vt:lpstr>Cards</vt:lpstr>
      <vt:lpstr>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S</dc:creator>
  <cp:lastModifiedBy>Prakash S</cp:lastModifiedBy>
  <cp:lastPrinted>2026-07-20T11:10:34Z</cp:lastPrinted>
  <dcterms:created xsi:type="dcterms:W3CDTF">2026-07-14T16:57:40Z</dcterms:created>
  <dcterms:modified xsi:type="dcterms:W3CDTF">2026-07-23T03:23:28Z</dcterms:modified>
</cp:coreProperties>
</file>